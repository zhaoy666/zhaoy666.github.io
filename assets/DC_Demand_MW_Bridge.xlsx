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W Bridg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2" authorId="0">
      <text>
        <r>
          <rPr>
            <sz val="10"/>
            <rFont val="Arial"/>
            <family val="2"/>
          </rPr>
          <t xml:space="preserve">Source: ConstructConnect 2025 (construction starts); Turner &amp; Townsend 2025 ($/MW).</t>
        </r>
      </text>
    </comment>
    <comment ref="B6" authorId="0">
      <text>
        <r>
          <rPr>
            <sz val="10"/>
            <rFont val="Arial"/>
            <family val="2"/>
          </rPr>
          <t xml:space="preserve">Source: Reuters / FT / 24-7 Wall St., Q1 2026 earnings. Combined MSFT+GOOGL+AMZN+META ~$700B.</t>
        </r>
      </text>
    </comment>
    <comment ref="B7" authorId="0">
      <text>
        <r>
          <rPr>
            <sz val="10"/>
            <rFont val="Arial"/>
            <family val="2"/>
          </rPr>
          <t xml:space="preserve">Source: HeyGotrade / FT, Q1 2026. ~75% of hyperscaler capex earmarked for AI infrastructure.</t>
        </r>
      </text>
    </comment>
    <comment ref="B9" authorId="0">
      <text>
        <r>
          <rPr>
            <sz val="10"/>
            <rFont val="Arial"/>
            <family val="2"/>
          </rPr>
          <t xml:space="preserve">Source: JLL / Turner &amp; Townsend, 2026 outlook. Global avg shell-and-core ~$11.3M/MW (2026), up from $10.7M (2025).</t>
        </r>
      </text>
    </comment>
    <comment ref="B10" authorId="0">
      <text>
        <r>
          <rPr>
            <sz val="10"/>
            <rFont val="Arial"/>
            <family val="2"/>
          </rPr>
          <t xml:space="preserve">Source: TrueLook 2025 analysis. AI-ready facilities $20M/MW+ (excl. GPUs), driven by liquid cooling and power density.</t>
        </r>
      </text>
    </comment>
    <comment ref="B11" authorId="0">
      <text>
        <r>
          <rPr>
            <sz val="10"/>
            <rFont val="Arial"/>
            <family val="2"/>
          </rPr>
          <t xml:space="preserve">Source: Cushman &amp; Wakefield / Bernstein, 2025. All-in AI cost $30-40M/MW incl. equipment; 35 = midpoint.</t>
        </r>
      </text>
    </comment>
    <comment ref="B14" authorId="0">
      <text>
        <r>
          <rPr>
            <sz val="10"/>
            <rFont val="Arial"/>
            <family val="2"/>
          </rPr>
          <t xml:space="preserve">RECOMMENDED 30% (for your review). Share of AI capex going to building + power + cooling (the landlord-delivered layer) vs GPUs/servers/networking (tenant capex, the majority). 30% is the conservative, GPU-heavy end; cost benchmarks ($20M/MW facility vs $30-40M/MW all-in) imply up to ~55%. See sensitivity (Section F). Source: derived from JLL/Turner &amp; Townsend, Cushman &amp; Wakefield, TrueLook, 2025-26.</t>
        </r>
      </text>
    </comment>
    <comment ref="B15" authorId="0">
      <text>
        <r>
          <rPr>
            <sz val="10"/>
            <rFont val="Arial"/>
            <family val="2"/>
          </rPr>
          <t xml:space="preserve">RECOMMENDED $20M/MW (for your review): AI-ready powered shell + cooling, excl GPUs — the right basis for landlord-delivered colocation capacity. Alternatives: $11.3M shell-and-core, $35M all-in incl. equipment. Source: TrueLook 2025; JLL/Turner &amp; Townsend 2026.</t>
        </r>
      </text>
    </comment>
    <comment ref="B16" authorId="0">
      <text>
        <r>
          <rPr>
            <sz val="10"/>
            <rFont val="Arial"/>
            <family val="2"/>
          </rPr>
          <t xml:space="preserve">RECOMMENDED 40% (for your review): share of new AI data-center demand met by third-party colocation (DLR/EQIX/IRM) vs hyperscaler self-build. Hyperscalers run a dual lease/self-build strategy; ~40-50% leased is a common range; 40% is the conservative end. Source: JLL 2026 outlook.</t>
        </r>
      </text>
    </comment>
    <comment ref="B17" authorId="0">
      <text>
        <r>
          <rPr>
            <sz val="10"/>
            <rFont val="Arial"/>
            <family val="2"/>
          </rPr>
          <t xml:space="preserve">Years over which the 2026 capex converts to built capacity. 1 = treat 2026 capex as a single build-year.</t>
        </r>
      </text>
    </comment>
    <comment ref="B28" authorId="0">
      <text>
        <r>
          <rPr>
            <sz val="10"/>
            <rFont val="Arial"/>
            <family val="2"/>
          </rPr>
          <t xml:space="preserve">Source: CBRE North America Data Center Trends H2 2025. Primary-market supply 9,432 MW (+36% YoY).</t>
        </r>
      </text>
    </comment>
    <comment ref="B29" authorId="0">
      <text>
        <r>
          <rPr>
            <sz val="10"/>
            <rFont val="Arial"/>
            <family val="2"/>
          </rPr>
          <t xml:space="preserve">Source: CBRE H2 2025. ~5.9 GW under construction (down from 6.3 GW in 2024).</t>
        </r>
      </text>
    </comment>
    <comment ref="B30" authorId="0">
      <text>
        <r>
          <rPr>
            <sz val="10"/>
            <rFont val="Arial"/>
            <family val="2"/>
          </rPr>
          <t xml:space="preserve">Source: CBRE H2 2025. Record primary-market net absorption 2,497.6 MW (vs 1,809.5 MW in 2024).</t>
        </r>
      </text>
    </comment>
    <comment ref="B31" authorId="0">
      <text>
        <r>
          <rPr>
            <sz val="10"/>
            <rFont val="Arial"/>
            <family val="2"/>
          </rPr>
          <t xml:space="preserve">Source: JLL / CBRE 2025. ~73-74% of under-construction pipeline pre-leased.</t>
        </r>
      </text>
    </comment>
    <comment ref="B32" authorId="0">
      <text>
        <r>
          <rPr>
            <sz val="10"/>
            <rFont val="Arial"/>
            <family val="2"/>
          </rPr>
          <t xml:space="preserve">Source: JLL midyear 2025. Average U.S. grid power-connection wait ~4 years — the binding supply constraint.</t>
        </r>
      </text>
    </comment>
  </commentList>
</comments>
</file>

<file path=xl/sharedStrings.xml><?xml version="1.0" encoding="utf-8"?>
<sst xmlns="http://schemas.openxmlformats.org/spreadsheetml/2006/main" count="67" uniqueCount="60">
  <si>
    <t xml:space="preserve">Section 2 — Data center demand bridge</t>
  </si>
  <si>
    <t xml:space="preserve">Hyperscaler capex  →  real-estate capex  →  MW  →  colocation-addressable demand  vs  deliverable supply</t>
  </si>
  <si>
    <t xml:space="preserve">Blue = your assumption  ·  black = formula  ·  yellow = key driver to own  ·  sourced cells carry source comments (hover).</t>
  </si>
  <si>
    <t xml:space="preserve">A.  Sourced anchors (verified, Q1 2026)</t>
  </si>
  <si>
    <t xml:space="preserve">Combined hyperscaler 2026 capex</t>
  </si>
  <si>
    <t xml:space="preserve">$B</t>
  </si>
  <si>
    <t xml:space="preserve">Share AI-directed</t>
  </si>
  <si>
    <t xml:space="preserve">% of capex</t>
  </si>
  <si>
    <t xml:space="preserve">AI-directed capex</t>
  </si>
  <si>
    <t xml:space="preserve">$B   (= capex × AI share)</t>
  </si>
  <si>
    <t xml:space="preserve">Build cost — shell &amp; core</t>
  </si>
  <si>
    <t xml:space="preserve">$M / MW   ·  2026</t>
  </si>
  <si>
    <t xml:space="preserve">Build cost — AI-ready facility</t>
  </si>
  <si>
    <t xml:space="preserve">$M / MW   ·  excl. GPUs</t>
  </si>
  <si>
    <t xml:space="preserve">Build cost — all-in incl. equipment</t>
  </si>
  <si>
    <t xml:space="preserve">$M / MW   ·  incl. GPUs</t>
  </si>
  <si>
    <t xml:space="preserve">B.  Your assumptions — set these</t>
  </si>
  <si>
    <t xml:space="preserve">Facility / real-estate share of AI capex</t>
  </si>
  <si>
    <t xml:space="preserve">% of AI capex   ·  rest = GPUs/servers/network</t>
  </si>
  <si>
    <t xml:space="preserve">Real-estate cost basis to use</t>
  </si>
  <si>
    <t xml:space="preserve">$M / MW   ·  pick row 9 / 10 / 11</t>
  </si>
  <si>
    <t xml:space="preserve">Colocation-addressable share (vs self-build)</t>
  </si>
  <si>
    <t xml:space="preserve">% of new demand   ·  lease vs build</t>
  </si>
  <si>
    <t xml:space="preserve">Capex deployment period</t>
  </si>
  <si>
    <t xml:space="preserve">yrs</t>
  </si>
  <si>
    <t xml:space="preserve">C.  The bridge (computed)</t>
  </si>
  <si>
    <t xml:space="preserve">→  Facility / real-estate capex</t>
  </si>
  <si>
    <t xml:space="preserve">$B   (= AI capex × facility share)</t>
  </si>
  <si>
    <t xml:space="preserve">→  Gross new data-center capacity</t>
  </si>
  <si>
    <t xml:space="preserve">MW   (= $B × 1,000 ÷ $M per MW)</t>
  </si>
  <si>
    <t xml:space="preserve">→  Annualized gross capacity</t>
  </si>
  <si>
    <t xml:space="preserve">MW / yr</t>
  </si>
  <si>
    <t xml:space="preserve">→  Colocation-addressable demand</t>
  </si>
  <si>
    <t xml:space="preserve">MW / yr   ·  REIT-relevant output</t>
  </si>
  <si>
    <t xml:space="preserve">→  Hyperscaler self-build (residual)</t>
  </si>
  <si>
    <t xml:space="preserve">D.  Supply side (sourced)</t>
  </si>
  <si>
    <t xml:space="preserve">Primary-market supply, 2025</t>
  </si>
  <si>
    <t xml:space="preserve">MW</t>
  </si>
  <si>
    <t xml:space="preserve">Under construction, YE 2025</t>
  </si>
  <si>
    <t xml:space="preserve">Record net absorption, 2025</t>
  </si>
  <si>
    <t xml:space="preserve">MW   ·  vs 1,810 in 2024</t>
  </si>
  <si>
    <t xml:space="preserve">Pipeline pre-leased</t>
  </si>
  <si>
    <t xml:space="preserve">%</t>
  </si>
  <si>
    <t xml:space="preserve">Avg power-connection wait</t>
  </si>
  <si>
    <t xml:space="preserve">E.  The gap (output)</t>
  </si>
  <si>
    <t xml:space="preserve">Colocation-addressable demand (bridge)</t>
  </si>
  <si>
    <t xml:space="preserve">Record net absorption, 2025 (actual)</t>
  </si>
  <si>
    <t xml:space="preserve">MW   ·  what the market cleared</t>
  </si>
  <si>
    <t xml:space="preserve">Implied demand  vs  2025 absorption</t>
  </si>
  <si>
    <t xml:space="preserve">x   ·  &gt;1 ⇒ capex implies more demand than supply cleared</t>
  </si>
  <si>
    <t xml:space="preserve">Power-connection wait gating new supply</t>
  </si>
  <si>
    <t xml:space="preserve">Your absorption verdict:</t>
  </si>
  <si>
    <t xml:space="preserve">[your analysis]</t>
  </si>
  <si>
    <t xml:space="preserve">← state the implied imbalance and what it means for the REITs</t>
  </si>
  <si>
    <t xml:space="preserve">Cross-check: 2025 US construction starts ~$77.7B ÷ ~$10.7M/MW ≈ ~7,260 MW broke ground — validates the capex→MW bridge.</t>
  </si>
  <si>
    <t xml:space="preserve">Note: GPUs/servers (the majority of hyperscaler capex) are tenant capex, not REIT-addressable; this bridge isolates the building + power + cooling layer the landlord provides.</t>
  </si>
  <si>
    <t xml:space="preserve">F.  Sensitivity — colocation-addressable demand (MW / yr)</t>
  </si>
  <si>
    <t xml:space="preserve">$/MW basis (row 15) and AI capex (row 8) held fixed. Rows = facility share of AI capex; columns = colocation share. Base case (30%, 40%) highlighted.</t>
  </si>
  <si>
    <t xml:space="preserve">facility ↓   /   colo →</t>
  </si>
  <si>
    <t xml:space="preserve">Reference: 2025 record net absorption = 2,498 MW (CBRE). Demand ÷ that = the absorption ratio; base case (3,150 MW) = 1.26×. Across the grid the ratio runs ~1.05× to ~2.9× — i.e. the capex implies demand at or above the record in every case.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</si>
</sst>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#,##0.0"/>
    <numFmt numFmtId="168" formatCode="0.00\x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Arial"/>
      <family val="0"/>
      <charset val="1"/>
    </font>
    <font>
      <sz val="10"/>
      <color rgb="FF40404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6E56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E1F5EE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E56"/>
      <rgbColor rgb="FFC0C0C0"/>
      <rgbColor rgb="FF808080"/>
      <rgbColor rgb="FF9999FF"/>
      <rgbColor rgb="FF993366"/>
      <rgbColor rgb="FFFFFFCC"/>
      <rgbColor rgb="FFE1F5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3"/>
    <col collapsed="false" customWidth="true" hidden="false" outlineLevel="0" max="3" min="3" style="1" width="46"/>
  </cols>
  <sheetData>
    <row r="1" customFormat="false" ht="15.75" hidden="false" customHeight="true" outlineLevel="0" collapsed="false">
      <c r="A1" s="2" t="s">
        <v>0</v>
      </c>
      <c r="B1" s="2"/>
      <c r="C1" s="2"/>
    </row>
    <row r="2" customFormat="false" ht="15" hidden="false" customHeight="true" outlineLevel="0" collapsed="false">
      <c r="A2" s="3" t="s">
        <v>1</v>
      </c>
      <c r="B2" s="3"/>
      <c r="C2" s="3"/>
    </row>
    <row r="3" customFormat="false" ht="15" hidden="false" customHeight="true" outlineLevel="0" collapsed="false">
      <c r="A3" s="4" t="s">
        <v>2</v>
      </c>
      <c r="B3" s="4"/>
      <c r="C3" s="4"/>
    </row>
    <row r="5" customFormat="false" ht="15" hidden="false" customHeight="true" outlineLevel="0" collapsed="false">
      <c r="A5" s="5" t="s">
        <v>3</v>
      </c>
      <c r="B5" s="6"/>
      <c r="C5" s="6"/>
    </row>
    <row r="6" customFormat="false" ht="15" hidden="false" customHeight="true" outlineLevel="0" collapsed="false">
      <c r="A6" s="7" t="s">
        <v>4</v>
      </c>
      <c r="B6" s="8" t="n">
        <v>700</v>
      </c>
      <c r="C6" s="9" t="s">
        <v>5</v>
      </c>
    </row>
    <row r="7" customFormat="false" ht="15" hidden="false" customHeight="true" outlineLevel="0" collapsed="false">
      <c r="A7" s="7" t="s">
        <v>6</v>
      </c>
      <c r="B7" s="10" t="n">
        <v>0.75</v>
      </c>
      <c r="C7" s="9" t="s">
        <v>7</v>
      </c>
    </row>
    <row r="8" customFormat="false" ht="15" hidden="false" customHeight="true" outlineLevel="0" collapsed="false">
      <c r="A8" s="7" t="s">
        <v>8</v>
      </c>
      <c r="B8" s="11" t="n">
        <f aca="false">B6*B7</f>
        <v>525</v>
      </c>
      <c r="C8" s="9" t="s">
        <v>9</v>
      </c>
    </row>
    <row r="9" customFormat="false" ht="15" hidden="false" customHeight="true" outlineLevel="0" collapsed="false">
      <c r="A9" s="7" t="s">
        <v>10</v>
      </c>
      <c r="B9" s="12" t="n">
        <v>11.3</v>
      </c>
      <c r="C9" s="9" t="s">
        <v>11</v>
      </c>
    </row>
    <row r="10" customFormat="false" ht="15" hidden="false" customHeight="true" outlineLevel="0" collapsed="false">
      <c r="A10" s="7" t="s">
        <v>12</v>
      </c>
      <c r="B10" s="8" t="n">
        <v>20</v>
      </c>
      <c r="C10" s="9" t="s">
        <v>13</v>
      </c>
    </row>
    <row r="11" customFormat="false" ht="15" hidden="false" customHeight="true" outlineLevel="0" collapsed="false">
      <c r="A11" s="7" t="s">
        <v>14</v>
      </c>
      <c r="B11" s="8" t="n">
        <v>35</v>
      </c>
      <c r="C11" s="9" t="s">
        <v>15</v>
      </c>
    </row>
    <row r="13" customFormat="false" ht="15" hidden="false" customHeight="true" outlineLevel="0" collapsed="false">
      <c r="A13" s="5" t="s">
        <v>16</v>
      </c>
      <c r="B13" s="6"/>
      <c r="C13" s="6"/>
    </row>
    <row r="14" customFormat="false" ht="15" hidden="false" customHeight="true" outlineLevel="0" collapsed="false">
      <c r="A14" s="13" t="s">
        <v>17</v>
      </c>
      <c r="B14" s="14" t="n">
        <v>0.3</v>
      </c>
      <c r="C14" s="9" t="s">
        <v>18</v>
      </c>
    </row>
    <row r="15" customFormat="false" ht="15" hidden="false" customHeight="true" outlineLevel="0" collapsed="false">
      <c r="A15" s="13" t="s">
        <v>19</v>
      </c>
      <c r="B15" s="15" t="n">
        <v>20</v>
      </c>
      <c r="C15" s="9" t="s">
        <v>20</v>
      </c>
    </row>
    <row r="16" customFormat="false" ht="15" hidden="false" customHeight="true" outlineLevel="0" collapsed="false">
      <c r="A16" s="13" t="s">
        <v>21</v>
      </c>
      <c r="B16" s="14" t="n">
        <v>0.4</v>
      </c>
      <c r="C16" s="9" t="s">
        <v>22</v>
      </c>
    </row>
    <row r="17" customFormat="false" ht="15" hidden="false" customHeight="true" outlineLevel="0" collapsed="false">
      <c r="A17" s="7" t="s">
        <v>23</v>
      </c>
      <c r="B17" s="8" t="n">
        <v>1</v>
      </c>
      <c r="C17" s="9" t="s">
        <v>24</v>
      </c>
    </row>
    <row r="19" customFormat="false" ht="15" hidden="false" customHeight="true" outlineLevel="0" collapsed="false">
      <c r="A19" s="5" t="s">
        <v>25</v>
      </c>
      <c r="B19" s="6"/>
      <c r="C19" s="6"/>
    </row>
    <row r="20" customFormat="false" ht="15" hidden="false" customHeight="true" outlineLevel="0" collapsed="false">
      <c r="A20" s="7" t="s">
        <v>8</v>
      </c>
      <c r="B20" s="11" t="n">
        <f aca="false">B8</f>
        <v>525</v>
      </c>
      <c r="C20" s="9" t="s">
        <v>5</v>
      </c>
    </row>
    <row r="21" customFormat="false" ht="15" hidden="false" customHeight="true" outlineLevel="0" collapsed="false">
      <c r="A21" s="7" t="s">
        <v>26</v>
      </c>
      <c r="B21" s="16" t="n">
        <f aca="false">B20*B14</f>
        <v>157.5</v>
      </c>
      <c r="C21" s="9" t="s">
        <v>27</v>
      </c>
    </row>
    <row r="22" customFormat="false" ht="15" hidden="false" customHeight="true" outlineLevel="0" collapsed="false">
      <c r="A22" s="7" t="s">
        <v>28</v>
      </c>
      <c r="B22" s="11" t="n">
        <f aca="false">B21*1000/B15</f>
        <v>7875</v>
      </c>
      <c r="C22" s="9" t="s">
        <v>29</v>
      </c>
    </row>
    <row r="23" customFormat="false" ht="15" hidden="false" customHeight="true" outlineLevel="0" collapsed="false">
      <c r="A23" s="7" t="s">
        <v>30</v>
      </c>
      <c r="B23" s="11" t="n">
        <f aca="false">B22/B17</f>
        <v>7875</v>
      </c>
      <c r="C23" s="9" t="s">
        <v>31</v>
      </c>
    </row>
    <row r="24" customFormat="false" ht="15" hidden="false" customHeight="true" outlineLevel="0" collapsed="false">
      <c r="A24" s="13" t="s">
        <v>32</v>
      </c>
      <c r="B24" s="17" t="n">
        <f aca="false">B23*B16</f>
        <v>3150</v>
      </c>
      <c r="C24" s="9" t="s">
        <v>33</v>
      </c>
    </row>
    <row r="25" customFormat="false" ht="15" hidden="false" customHeight="true" outlineLevel="0" collapsed="false">
      <c r="A25" s="7" t="s">
        <v>34</v>
      </c>
      <c r="B25" s="11" t="n">
        <f aca="false">B23-B24</f>
        <v>4725</v>
      </c>
      <c r="C25" s="9" t="s">
        <v>31</v>
      </c>
    </row>
    <row r="27" customFormat="false" ht="15" hidden="false" customHeight="true" outlineLevel="0" collapsed="false">
      <c r="A27" s="5" t="s">
        <v>35</v>
      </c>
      <c r="B27" s="6"/>
      <c r="C27" s="6"/>
    </row>
    <row r="28" customFormat="false" ht="15" hidden="false" customHeight="true" outlineLevel="0" collapsed="false">
      <c r="A28" s="7" t="s">
        <v>36</v>
      </c>
      <c r="B28" s="8" t="n">
        <v>9432</v>
      </c>
      <c r="C28" s="9" t="s">
        <v>37</v>
      </c>
    </row>
    <row r="29" customFormat="false" ht="15" hidden="false" customHeight="true" outlineLevel="0" collapsed="false">
      <c r="A29" s="7" t="s">
        <v>38</v>
      </c>
      <c r="B29" s="8" t="n">
        <v>5900</v>
      </c>
      <c r="C29" s="9" t="s">
        <v>37</v>
      </c>
    </row>
    <row r="30" customFormat="false" ht="15" hidden="false" customHeight="true" outlineLevel="0" collapsed="false">
      <c r="A30" s="7" t="s">
        <v>39</v>
      </c>
      <c r="B30" s="8" t="n">
        <v>2498</v>
      </c>
      <c r="C30" s="9" t="s">
        <v>40</v>
      </c>
    </row>
    <row r="31" customFormat="false" ht="15" hidden="false" customHeight="true" outlineLevel="0" collapsed="false">
      <c r="A31" s="7" t="s">
        <v>41</v>
      </c>
      <c r="B31" s="10" t="n">
        <v>0.74</v>
      </c>
      <c r="C31" s="9" t="s">
        <v>42</v>
      </c>
    </row>
    <row r="32" customFormat="false" ht="15" hidden="false" customHeight="true" outlineLevel="0" collapsed="false">
      <c r="A32" s="7" t="s">
        <v>43</v>
      </c>
      <c r="B32" s="8" t="n">
        <v>4</v>
      </c>
      <c r="C32" s="9" t="s">
        <v>24</v>
      </c>
    </row>
    <row r="34" customFormat="false" ht="15" hidden="false" customHeight="true" outlineLevel="0" collapsed="false">
      <c r="A34" s="5" t="s">
        <v>44</v>
      </c>
      <c r="B34" s="6"/>
      <c r="C34" s="6"/>
    </row>
    <row r="35" customFormat="false" ht="15" hidden="false" customHeight="true" outlineLevel="0" collapsed="false">
      <c r="A35" s="7" t="s">
        <v>45</v>
      </c>
      <c r="B35" s="11" t="n">
        <f aca="false">B24</f>
        <v>3150</v>
      </c>
      <c r="C35" s="9" t="s">
        <v>31</v>
      </c>
    </row>
    <row r="36" customFormat="false" ht="15" hidden="false" customHeight="true" outlineLevel="0" collapsed="false">
      <c r="A36" s="7" t="s">
        <v>46</v>
      </c>
      <c r="B36" s="11" t="n">
        <f aca="false">B30</f>
        <v>2498</v>
      </c>
      <c r="C36" s="9" t="s">
        <v>47</v>
      </c>
    </row>
    <row r="37" customFormat="false" ht="15" hidden="false" customHeight="true" outlineLevel="0" collapsed="false">
      <c r="A37" s="13" t="s">
        <v>48</v>
      </c>
      <c r="B37" s="18" t="n">
        <f aca="false">B35/B36</f>
        <v>1.26100880704564</v>
      </c>
      <c r="C37" s="9" t="s">
        <v>49</v>
      </c>
    </row>
    <row r="38" customFormat="false" ht="15" hidden="false" customHeight="true" outlineLevel="0" collapsed="false">
      <c r="A38" s="7" t="s">
        <v>50</v>
      </c>
      <c r="B38" s="11" t="n">
        <f aca="false">B32</f>
        <v>4</v>
      </c>
      <c r="C38" s="9" t="s">
        <v>24</v>
      </c>
    </row>
    <row r="40" customFormat="false" ht="15" hidden="false" customHeight="true" outlineLevel="0" collapsed="false">
      <c r="A40" s="13" t="s">
        <v>51</v>
      </c>
      <c r="B40" s="19" t="s">
        <v>52</v>
      </c>
      <c r="C40" s="9" t="s">
        <v>53</v>
      </c>
    </row>
    <row r="42" customFormat="false" ht="15" hidden="false" customHeight="true" outlineLevel="0" collapsed="false">
      <c r="A42" s="4" t="s">
        <v>54</v>
      </c>
      <c r="B42" s="4"/>
      <c r="C42" s="4"/>
    </row>
    <row r="43" customFormat="false" ht="15" hidden="false" customHeight="true" outlineLevel="0" collapsed="false">
      <c r="A43" s="4" t="s">
        <v>55</v>
      </c>
      <c r="B43" s="4"/>
      <c r="C43" s="4"/>
    </row>
    <row r="45" customFormat="false" ht="15" hidden="false" customHeight="false" outlineLevel="0" collapsed="false">
      <c r="A45" s="20" t="s">
        <v>56</v>
      </c>
      <c r="B45" s="21"/>
      <c r="C45" s="21"/>
    </row>
    <row r="46" customFormat="false" ht="15" hidden="false" customHeight="false" outlineLevel="0" collapsed="false">
      <c r="A46" s="22" t="s">
        <v>57</v>
      </c>
      <c r="B46" s="22"/>
      <c r="C46" s="22"/>
    </row>
    <row r="47" customFormat="false" ht="15" hidden="false" customHeight="false" outlineLevel="0" collapsed="false">
      <c r="A47" s="23" t="s">
        <v>58</v>
      </c>
      <c r="B47" s="24" t="n">
        <v>0.4</v>
      </c>
      <c r="C47" s="24" t="n">
        <v>0.5</v>
      </c>
    </row>
    <row r="48" customFormat="false" ht="15" hidden="false" customHeight="false" outlineLevel="0" collapsed="false">
      <c r="A48" s="25" t="n">
        <v>0.25</v>
      </c>
      <c r="B48" s="26" t="n">
        <f aca="false">$B$8*$A48*1000/$B$15*B$47</f>
        <v>2625</v>
      </c>
      <c r="C48" s="26" t="n">
        <f aca="false">$B$8*$A48*1000/$B$15*C$47</f>
        <v>3281.25</v>
      </c>
    </row>
    <row r="49" customFormat="false" ht="15" hidden="false" customHeight="false" outlineLevel="0" collapsed="false">
      <c r="A49" s="25" t="n">
        <v>0.3</v>
      </c>
      <c r="B49" s="27" t="n">
        <f aca="false">$B$8*$A49*1000/$B$15*B$47</f>
        <v>3150</v>
      </c>
      <c r="C49" s="26" t="n">
        <f aca="false">$B$8*$A49*1000/$B$15*C$47</f>
        <v>3937.5</v>
      </c>
    </row>
    <row r="50" customFormat="false" ht="15" hidden="false" customHeight="false" outlineLevel="0" collapsed="false">
      <c r="A50" s="25" t="n">
        <v>0.4</v>
      </c>
      <c r="B50" s="26" t="n">
        <f aca="false">$B$8*$A50*1000/$B$15*B$47</f>
        <v>4200</v>
      </c>
      <c r="C50" s="26" t="n">
        <f aca="false">$B$8*$A50*1000/$B$15*C$47</f>
        <v>5250</v>
      </c>
    </row>
    <row r="51" customFormat="false" ht="15" hidden="false" customHeight="false" outlineLevel="0" collapsed="false">
      <c r="A51" s="25" t="n">
        <v>0.55</v>
      </c>
      <c r="B51" s="26" t="n">
        <f aca="false">$B$8*$A51*1000/$B$15*B$47</f>
        <v>5775</v>
      </c>
      <c r="C51" s="26" t="n">
        <f aca="false">$B$8*$A51*1000/$B$15*C$47</f>
        <v>7218.75</v>
      </c>
    </row>
    <row r="53" customFormat="false" ht="15" hidden="false" customHeight="false" outlineLevel="0" collapsed="false">
      <c r="A53" s="22" t="s">
        <v>59</v>
      </c>
      <c r="B53" s="22"/>
      <c r="C53" s="22"/>
    </row>
  </sheetData>
  <mergeCells count="7">
    <mergeCell ref="A1:C1"/>
    <mergeCell ref="A2:C2"/>
    <mergeCell ref="A3:C3"/>
    <mergeCell ref="A42:C42"/>
    <mergeCell ref="A43:C43"/>
    <mergeCell ref="A46:C46"/>
    <mergeCell ref="A53:C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2026-05-29T21:22:22Z</dcterms:created>
  <dc:creator>openpyxl</dc:creator>
  <dc:description/>
  <dc:language>en-US</dc:language>
  <cp:lastModifiedBy/>
  <dcterms:modified xsi:type="dcterms:W3CDTF">2026-05-29T21:46:54Z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