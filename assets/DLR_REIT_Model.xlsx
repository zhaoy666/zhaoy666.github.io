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DLR Source Data" sheetId="1" state="visible" r:id="rId3"/>
    <sheet name="1. Assumptions" sheetId="2" state="visible" r:id="rId4"/>
    <sheet name="2. Historicals" sheetId="3" state="visible" r:id="rId5"/>
    <sheet name="3. Segment Build" sheetId="4" state="visible" r:id="rId6"/>
    <sheet name="4. Dev Pipeline" sheetId="5" state="visible" r:id="rId7"/>
    <sheet name="5. Income Statement" sheetId="6" state="visible" r:id="rId8"/>
    <sheet name="6. Balance Sheet" sheetId="7" state="visible" r:id="rId9"/>
    <sheet name="7. Cash Flow" sheetId="8" state="visible" r:id="rId10"/>
    <sheet name="8. FFO-AFFO" sheetId="9" state="visible" r:id="rId11"/>
    <sheet name="9. Valuation" sheetId="10" state="visible" r:id="rId12"/>
    <sheet name="10. Sensitivit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7" authorId="0">
      <text>
        <r>
          <rPr>
            <sz val="10"/>
            <rFont val="Arial"/>
            <family val="2"/>
          </rPr>
          <t xml:space="preserve">Investments in RE before deprec, 12/31/24. Source: DLR Q3 2025 8-K.</t>
        </r>
      </text>
    </comment>
    <comment ref="E44" authorId="0">
      <text>
        <r>
          <rPr>
            <sz val="10"/>
            <rFont val="Arial"/>
            <family val="2"/>
          </rPr>
          <t xml:space="preserve">Total assets 12/31/24. Source: DLR Q3 2025 8-K.</t>
        </r>
      </text>
    </comment>
    <comment ref="E46" authorId="0">
      <text>
        <r>
          <rPr>
            <sz val="10"/>
            <rFont val="Arial"/>
            <family val="2"/>
          </rPr>
          <t xml:space="preserve">TOTAL debt 12/31/24 (carrying). Split from 10-K. Source: DLR Q3 2025 8-K.</t>
        </r>
      </text>
    </comment>
    <comment ref="E50" authorId="0">
      <text>
        <r>
          <rPr>
            <sz val="10"/>
            <rFont val="Arial"/>
            <family val="2"/>
          </rPr>
          <t xml:space="preserve">Total liabilities 12/31/24. Source: DLR Q3 2025 8-K.</t>
        </r>
      </text>
    </comment>
    <comment ref="E51" authorId="0">
      <text>
        <r>
          <rPr>
            <sz val="10"/>
            <rFont val="Arial"/>
            <family val="2"/>
          </rPr>
          <t xml:space="preserve">Preferred liquidation value. Source: DLR Q3 2025 8-K.</t>
        </r>
      </text>
    </comment>
    <comment ref="F9" authorId="0">
      <text>
        <r>
          <rPr>
            <sz val="10"/>
            <rFont val="Arial"/>
            <family val="2"/>
          </rPr>
          <t xml:space="preserve">FY2025 ACTUAL. Sum of quarters 1,407.6+1,493.2+1,577.2+1,632 ($M). Source: DLR Q1-Q4 2025 / SEC 8-K.</t>
        </r>
      </text>
    </comment>
    <comment ref="F29" authorId="0">
      <text>
        <r>
          <rPr>
            <sz val="10"/>
            <rFont val="Arial"/>
            <family val="2"/>
          </rPr>
          <t xml:space="preserve">FY2025 wtd-avg diluted shares (M); period-end shares+units 349.2M. Source: DLR Q3 8-K / Q4 release.</t>
        </r>
      </text>
    </comment>
    <comment ref="F37" authorId="0">
      <text>
        <r>
          <rPr>
            <sz val="10"/>
            <rFont val="Arial"/>
            <family val="2"/>
          </rPr>
          <t xml:space="preserve">9/30/25 interim — UPDATE to 12/31/25 from 10-K. Source: DLR Q3 2025 8-K.</t>
        </r>
      </text>
    </comment>
    <comment ref="F41" authorId="0">
      <text>
        <r>
          <rPr>
            <sz val="10"/>
            <rFont val="Arial"/>
            <family val="2"/>
          </rPr>
          <t xml:space="preserve">Cash &amp; equivalents 12/31/25 — add from 10-K (set 0 as placeholder so NAV computes).</t>
        </r>
      </text>
    </comment>
    <comment ref="F44" authorId="0">
      <text>
        <r>
          <rPr>
            <sz val="10"/>
            <rFont val="Arial"/>
            <family val="2"/>
          </rPr>
          <t xml:space="preserve">9/30/25 — update to 12/31/25. Source: DLR Q3 2025 8-K.</t>
        </r>
      </text>
    </comment>
    <comment ref="F46" authorId="0">
      <text>
        <r>
          <rPr>
            <sz val="10"/>
            <rFont val="Arial"/>
            <family val="2"/>
          </rPr>
          <t xml:space="preserve">TOTAL debt 9/30/25 — update to 12/31/25. $17.4B unsec+$0.8B sec. Source: DLR Q3 2025 8-K.</t>
        </r>
      </text>
    </comment>
    <comment ref="F50" authorId="0">
      <text>
        <r>
          <rPr>
            <sz val="10"/>
            <rFont val="Arial"/>
            <family val="2"/>
          </rPr>
          <t xml:space="preserve">9/30/25 — update to 12/31/25. Source: DLR Q3 2025 8-K.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ILLUSTRATIVE split of sourced FY2025 total ($6,110M) so the engine runs. REPLACE F8:F11 with actual segment revenue from the 10-K (DLR’s reportable segments differ — map accordingly).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1" authorId="0">
      <text>
        <r>
          <rPr>
            <sz val="10"/>
            <rFont val="Arial"/>
            <family val="2"/>
          </rPr>
          <t xml:space="preserve">FY2025 indicated dividend/share. Source: DLR Q3 2025 8-K.</t>
        </r>
      </text>
    </comment>
    <comment ref="N5" authorId="0">
      <text>
        <r>
          <rPr>
            <sz val="10"/>
            <rFont val="Arial"/>
            <family val="2"/>
          </rPr>
          <t xml:space="preserve">FY2025 reported Core FFO/share. Source: DLR Q4 2025 release (2/5/2026).</t>
        </r>
      </text>
    </comment>
    <comment ref="N10" authorId="0">
      <text>
        <r>
          <rPr>
            <sz val="10"/>
            <rFont val="Arial"/>
            <family val="2"/>
          </rPr>
          <t xml:space="preserve">2026 guidance midpoint $7.90-$8.00. Source: DLR Q4 2025 release.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6" authorId="0">
      <text>
        <r>
          <rPr>
            <sz val="10"/>
            <rFont val="Arial"/>
            <family val="2"/>
          </rPr>
          <t xml:space="preserve">DLR close 9/30/25 (SEC 8-K). UPDATE to current price before finalizing.</t>
        </r>
      </text>
    </comment>
  </commentList>
</comments>
</file>

<file path=xl/sharedStrings.xml><?xml version="1.0" encoding="utf-8"?>
<sst xmlns="http://schemas.openxmlformats.org/spreadsheetml/2006/main" count="785" uniqueCount="428">
  <si>
    <t xml:space="preserve">Digital Realty (DLR) — Source Data &amp; Reconciliation Anchors</t>
  </si>
  <si>
    <t xml:space="preserve">Sourced from DLR public releases (see Sources). These are ANCHORS to verify against the FY2025 10-K and Q4-2025 supplemental — not final inputs.</t>
  </si>
  <si>
    <t xml:space="preserve">Net income carries large non-core gains (e.g., Q2'25 +$2.94/sh); treat Core FFO as the headline operating metric.</t>
  </si>
  <si>
    <t xml:space="preserve">FY2025 REPORTED ACTUALS  (reported basis, fully diluted)</t>
  </si>
  <si>
    <t xml:space="preserve">Total revenue (FY2025)</t>
  </si>
  <si>
    <t xml:space="preserve">$6.11 B</t>
  </si>
  <si>
    <t xml:space="preserve">ACTUAL FY2025 (+10% YoY). Q1 1.408+Q2 1.493+Q3 1.577+Q4 1.632</t>
  </si>
  <si>
    <t xml:space="preserve">Adjusted EBITDA (FY2025)</t>
  </si>
  <si>
    <t xml:space="preserve">$3.34 B</t>
  </si>
  <si>
    <t xml:space="preserve">ACTUAL. Q1 791+Q2 823+Q3 868+Q4 857 ($M)</t>
  </si>
  <si>
    <t xml:space="preserve">Net income avail. to common / share</t>
  </si>
  <si>
    <t xml:space="preserve">$3.45–$3.55</t>
  </si>
  <si>
    <t xml:space="preserve">FY guidance; includes large Q2'25 gain of $2.94/sh</t>
  </si>
  <si>
    <t xml:space="preserve">FFO / share (FY2025, reported)</t>
  </si>
  <si>
    <t xml:space="preserve">~$6.96</t>
  </si>
  <si>
    <t xml:space="preserve">Sum: 1.67 + 1.75 + 1.65 + 1.89</t>
  </si>
  <si>
    <t xml:space="preserve">Core FFO / share (FY2025, reported)</t>
  </si>
  <si>
    <t xml:space="preserve">~$7.39</t>
  </si>
  <si>
    <t xml:space="preserve">Sum: 1.77 + 1.87 + 1.89 + 1.86  ← HEADLINE METRIC</t>
  </si>
  <si>
    <t xml:space="preserve">Diluted shares (approx.)</t>
  </si>
  <si>
    <t xml:space="preserve">~345–347 M</t>
  </si>
  <si>
    <t xml:space="preserve">Derived: Q3 FFO $570M ÷ $1.65; Q2 NIAC $1.02B ÷ $2.94</t>
  </si>
  <si>
    <t xml:space="preserve">Quarterly Core FFO / share</t>
  </si>
  <si>
    <t xml:space="preserve">1.77 / 1.87 / 1.89 / 1.86</t>
  </si>
  <si>
    <t xml:space="preserve">Q1 / Q2 / Q3 (record) / Q4 2025</t>
  </si>
  <si>
    <t xml:space="preserve">Quarterly revenue</t>
  </si>
  <si>
    <t xml:space="preserve">$1.41/1.49/1.58/1.63 B</t>
  </si>
  <si>
    <t xml:space="preserve">Q1-Q4 2025 — SEC 8-K actuals</t>
  </si>
  <si>
    <t xml:space="preserve">Quarterly Adjusted EBITDA</t>
  </si>
  <si>
    <t xml:space="preserve">791/823/868/857 ($M)</t>
  </si>
  <si>
    <t xml:space="preserve">Q1-Q4 2025 Adj EBITDA — SEC 8-K</t>
  </si>
  <si>
    <t xml:space="preserve">BALANCE SHEET / LEVERAGE  (as of mid-2025 unless noted)</t>
  </si>
  <si>
    <t xml:space="preserve">Total debt (6/30/25)</t>
  </si>
  <si>
    <t xml:space="preserve">$18.23 B (9/30/25)</t>
  </si>
  <si>
    <t xml:space="preserve">$17.4B unsec+$0.8B sec. 12/31/24: $16.71B</t>
  </si>
  <si>
    <t xml:space="preserve">Net debt / Adjusted EBITDA</t>
  </si>
  <si>
    <t xml:space="preserve">4.9x (Q3'25)</t>
  </si>
  <si>
    <t xml:space="preserve">5.1x at Q2'25 — deleveraging trend</t>
  </si>
  <si>
    <t xml:space="preserve">Total assets / portfolio (Q4'25)</t>
  </si>
  <si>
    <t xml:space="preserve">$48.73 B (9/30/25)</t>
  </si>
  <si>
    <t xml:space="preserve">Total assets Q3 8-K; 12/31/24: $45.28B</t>
  </si>
  <si>
    <t xml:space="preserve">Debt / equity</t>
  </si>
  <si>
    <t xml:space="preserve">0.74</t>
  </si>
  <si>
    <t xml:space="preserve">Q4'25</t>
  </si>
  <si>
    <t xml:space="preserve">Price / book (Q4'25)</t>
  </si>
  <si>
    <t xml:space="preserve">2.39x</t>
  </si>
  <si>
    <t xml:space="preserve">Down from 2.65x in Q3'25</t>
  </si>
  <si>
    <t xml:space="preserve">Fixed charge coverage (Q3'25)</t>
  </si>
  <si>
    <t xml:space="preserve">4.6x</t>
  </si>
  <si>
    <t xml:space="preserve">Adj. EBITDA ÷ (interest + cap. interest + pref. divs)</t>
  </si>
  <si>
    <t xml:space="preserve">Q3'25 interest detail ($M)</t>
  </si>
  <si>
    <t xml:space="preserve">Int 114 / CapInt 33 / Pref 10</t>
  </si>
  <si>
    <t xml:space="preserve">GAAP interest / capitalized interest / preferred divs</t>
  </si>
  <si>
    <t xml:space="preserve">Credit ratings</t>
  </si>
  <si>
    <t xml:space="preserve">BBB+ / Baa2 / BBB</t>
  </si>
  <si>
    <t xml:space="preserve">S&amp;P/Moody’s/Fitch — all Stable (Q3 8-K)</t>
  </si>
  <si>
    <t xml:space="preserve">DIVIDEND</t>
  </si>
  <si>
    <t xml:space="preserve">Common dividend per share</t>
  </si>
  <si>
    <t xml:space="preserve">$1.22/qtr = $4.88/yr</t>
  </si>
  <si>
    <t xml:space="preserve">Held flat YoY; yield ~2.6–3.2%</t>
  </si>
  <si>
    <t xml:space="preserve">Shares + units (9/30/25)</t>
  </si>
  <si>
    <t xml:space="preserve">349.2 M</t>
  </si>
  <si>
    <t xml:space="preserve">343.0M common + 6.2M OP units (Q3 8-K)</t>
  </si>
  <si>
    <t xml:space="preserve">2026 GUIDANCE  (introduced with Q4'25 results, 2/5/2026)</t>
  </si>
  <si>
    <t xml:space="preserve">Core FFO / share — 2026E</t>
  </si>
  <si>
    <t xml:space="preserve">$7.90 – $8.00</t>
  </si>
  <si>
    <t xml:space="preserve">Reported &amp; constant-currency basis</t>
  </si>
  <si>
    <t xml:space="preserve">DLR's EXACT AFFO BRIDGE — Core FFO → AFFO  (per DLR Q3'25 release)</t>
  </si>
  <si>
    <t xml:space="preserve">DLR computes AFFO by adjusting CORE FFO (not NAREIT FFO) for the following ten items:</t>
  </si>
  <si>
    <t xml:space="preserve">   (i)  non-real estate depreciation</t>
  </si>
  <si>
    <t xml:space="preserve">   (ii)  amortization of deferred financing costs</t>
  </si>
  <si>
    <t xml:space="preserve">   (iii)  amortization of debt discount / premium</t>
  </si>
  <si>
    <t xml:space="preserve">   (iv)  non-cash stock-based compensation</t>
  </si>
  <si>
    <t xml:space="preserve">   (v)  straight-line rental revenue</t>
  </si>
  <si>
    <t xml:space="preserve">   (vi)  straight-line rental expense</t>
  </si>
  <si>
    <t xml:space="preserve">   (vii)  above- / below-market rent amortization</t>
  </si>
  <si>
    <t xml:space="preserve">   (viii)  deferred tax expense / (benefit)</t>
  </si>
  <si>
    <t xml:space="preserve">   (ix)  leasing compensation &amp; internal lease commissions</t>
  </si>
  <si>
    <t xml:space="preserve">   (x)  recurring capital expenditures</t>
  </si>
  <si>
    <t xml:space="preserve">To match DLR in Tab 8: add a Core FFO step below NAREIT FFO (adjust for transaction/integration</t>
  </si>
  <si>
    <t xml:space="preserve">costs, (gain)/loss on debt extinguishment, severance &amp; equity acceleration, other non-core), then</t>
  </si>
  <si>
    <t xml:space="preserve">bridge AFFO from Core FFO using the ten items above. Reconcile to FY2025: Core FFO/sh ~$7.39, FFO/sh ~$6.96.</t>
  </si>
  <si>
    <t xml:space="preserve">OPERATING / LEASING CONTEXT  (FY2025)</t>
  </si>
  <si>
    <t xml:space="preserve">New leases signed (2025)</t>
  </si>
  <si>
    <t xml:space="preserve">&gt;$1.2 B</t>
  </si>
  <si>
    <t xml:space="preserve">+70% vs 5-yr average</t>
  </si>
  <si>
    <t xml:space="preserve">Backlog (Q3'25)</t>
  </si>
  <si>
    <t xml:space="preserve">$852 M</t>
  </si>
  <si>
    <t xml:space="preserve">Signed-but-not-commenced rent</t>
  </si>
  <si>
    <t xml:space="preserve">Renewal cash rate increases</t>
  </si>
  <si>
    <t xml:space="preserve">5.6% – 7.3%</t>
  </si>
  <si>
    <t xml:space="preserve">Range across 2025 quarters</t>
  </si>
  <si>
    <t xml:space="preserve">Private capital</t>
  </si>
  <si>
    <t xml:space="preserve">$3.2 B LP equity fund</t>
  </si>
  <si>
    <t xml:space="preserve">APAC / hyperscale; capital-light growth</t>
  </si>
  <si>
    <t xml:space="preserve">VALUATION CONTEXT  (sanity-check only — NOT a recommendation)</t>
  </si>
  <si>
    <t xml:space="preserve">Share price (approx.)</t>
  </si>
  <si>
    <t xml:space="preserve">$172.88 (9/30/25)</t>
  </si>
  <si>
    <t xml:space="preserve">SEC 8-K close. Update to current. 12/31/24: $177.33</t>
  </si>
  <si>
    <t xml:space="preserve">Data center cap rates</t>
  </si>
  <si>
    <t xml:space="preserve">~6.0% – 7.0%</t>
  </si>
  <si>
    <t xml:space="preserve">Sector range; supports your NAV cap inputs</t>
  </si>
  <si>
    <t xml:space="preserve">3rd-party fair-value range</t>
  </si>
  <si>
    <t xml:space="preserve">$102 – $174</t>
  </si>
  <si>
    <t xml:space="preserve">One analyst view — i.e., some see shares as rich</t>
  </si>
  <si>
    <t xml:space="preserve">PULL FROM THE 10-K / SUPPLEMENTAL TO COMPLETE THE MODEL</t>
  </si>
  <si>
    <t xml:space="preserve">☐  Segment revenue &amp; NOI — by region (Americas / EMEA / APAC) and product (&gt;1MW, 0–1MW, interconnection)</t>
  </si>
  <si>
    <t xml:space="preserve">☐  Full income statement — rental vs other revenue, property opex, D&amp;A split (RE vs non-RE), G&amp;A, interest</t>
  </si>
  <si>
    <t xml:space="preserve">☐  Full balance sheet — gross/net real estate, CIP, debt schedule by instrument (coupon, maturity, currency), preferred, equity</t>
  </si>
  <si>
    <t xml:space="preserve">☐  Cash flow statement — operating / investing / financing detail</t>
  </si>
  <si>
    <t xml:space="preserve">☐  Development pipeline — MW under construction, total cost, % pre-leased, expected stabilization dates</t>
  </si>
  <si>
    <t xml:space="preserve">☐  Exact diluted share count + full Core FFO and AFFO reconciliations from the supplemental</t>
  </si>
  <si>
    <t xml:space="preserve">SOURCES</t>
  </si>
  <si>
    <t xml:space="preserve">•  DLR Q4 2025 results (2/5/2026) — FY rev $6.11B, Core FFO $7.39/sh, 2026 guidance</t>
  </si>
  <si>
    <t xml:space="preserve">•  DLR Q3 2025 8-K, SEC EDGAR (10/23/2025) — quarterly IS/BS, leverage, shares, ratings</t>
  </si>
  <si>
    <t xml:space="preserve">•  SEC EDGAR CIK 0001297996 — primary 8-K exhibits 99.1</t>
  </si>
  <si>
    <t xml:space="preserve">•  DLR Q1 2025 results (4/24/2025) — quarterly revenue &amp; FFO</t>
  </si>
  <si>
    <t xml:space="preserve">•  Figures rounded for anchoring; reconcile to the FY2025 10-K (filed ~Feb 2026) before finalizing.</t>
  </si>
  <si>
    <t xml:space="preserve">DLR | REIT Three-Statement Model — Assumptions Dashboard</t>
  </si>
  <si>
    <t xml:space="preserve">All driver inputs live here. Linked from all other tabs. Replace blue cells with current data.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</si>
  <si>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</si>
  <si>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</si>
  <si>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</si>
  <si>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</si>
  <si>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</si>
  <si>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</si>
  <si>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</si>
  <si>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</si>
  <si>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</si>
  <si>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</si>
  <si>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Notes / Source</t>
  </si>
  <si>
    <t xml:space="preserve">A</t>
  </si>
  <si>
    <t xml:space="preserve">E</t>
  </si>
  <si>
    <t xml:space="preserve">MACRO ASSUMPTIONS</t>
  </si>
  <si>
    <t xml:space="preserve">10-Yr Treasury yield (Rf)</t>
  </si>
  <si>
    <t xml:space="preserve">Source: U.S. Treasury, current</t>
  </si>
  <si>
    <t xml:space="preserve">Equity risk premium (ERP)</t>
  </si>
  <si>
    <t xml:space="preserve">Source: Damodaran, latest</t>
  </si>
  <si>
    <t xml:space="preserve">Beta (vs. XLRE)</t>
  </si>
  <si>
    <t xml:space="preserve">Source: Bloomberg or compute 60M weekly</t>
  </si>
  <si>
    <t xml:space="preserve">Long-term inflation</t>
  </si>
  <si>
    <t xml:space="preserve">Source: Fed long-run projection</t>
  </si>
  <si>
    <t xml:space="preserve">Terminal growth (g)</t>
  </si>
  <si>
    <t xml:space="preserve">OPERATING ASSUMPTIONS — Same-Property NOI Growth</t>
  </si>
  <si>
    <t xml:space="preserve">Hyperscale — Americas</t>
  </si>
  <si>
    <t xml:space="preserve">Hyperscale — EMEA</t>
  </si>
  <si>
    <t xml:space="preserve">Hyperscale — APAC</t>
  </si>
  <si>
    <t xml:space="preserve">Colocation — global</t>
  </si>
  <si>
    <t xml:space="preserve">CAPITAL ASSUMPTIONS</t>
  </si>
  <si>
    <t xml:space="preserve">Development capex ($M)</t>
  </si>
  <si>
    <t xml:space="preserve">Source: Tab 4 — Pipeline</t>
  </si>
  <si>
    <t xml:space="preserve">Recurring capex (% of revenue)</t>
  </si>
  <si>
    <t xml:space="preserve">Industry: 3-5%</t>
  </si>
  <si>
    <t xml:space="preserve">Target Net Debt / EBITDA</t>
  </si>
  <si>
    <t xml:space="preserve">Mgmt target</t>
  </si>
  <si>
    <t xml:space="preserve">Dividend payout (% of AFFO)</t>
  </si>
  <si>
    <t xml:space="preserve">Mgmt policy</t>
  </si>
  <si>
    <t xml:space="preserve">Weighted avg cost of debt</t>
  </si>
  <si>
    <t xml:space="preserve">Core FFO/share growth (E)</t>
  </si>
  <si>
    <t xml:space="preserve">YOUR input. 2026 ≈ guidance (+7-8%); taper after. Drives DCF.</t>
  </si>
  <si>
    <t xml:space="preserve">VALUATION ASSUMPTIONS</t>
  </si>
  <si>
    <t xml:space="preserve">Cost of equity (CAPM)</t>
  </si>
  <si>
    <t xml:space="preserve">Rf + Beta × ERP</t>
  </si>
  <si>
    <t xml:space="preserve">After-tax cost of debt</t>
  </si>
  <si>
    <t xml:space="preserve">REITs effectively non-taxed at corp level</t>
  </si>
  <si>
    <t xml:space="preserve">Target debt weight</t>
  </si>
  <si>
    <t xml:space="preserve">Market-value weights</t>
  </si>
  <si>
    <t xml:space="preserve">WACC</t>
  </si>
  <si>
    <t xml:space="preserve">Blended</t>
  </si>
  <si>
    <t xml:space="preserve">Terminal exit cap rate</t>
  </si>
  <si>
    <t xml:space="preserve">Current market cap + 50bps</t>
  </si>
  <si>
    <t xml:space="preserve">NAV cap rate — Hyperscale</t>
  </si>
  <si>
    <t xml:space="preserve">CBRE / Green Street current</t>
  </si>
  <si>
    <t xml:space="preserve">NAV cap rate — Colocation</t>
  </si>
  <si>
    <t xml:space="preserve">AFFO / Core FFO conversion</t>
  </si>
  <si>
    <t xml:space="preserve">YOUR input. DLR AFFO historically ~0.85-0.92 of Core FFO; verify in 10-K.</t>
  </si>
  <si>
    <t xml:space="preserve">Dev capex debt-funded %</t>
  </si>
  <si>
    <t xml:space="preserve">YOUR input. Share of dev capex funded by new debt (rest by retained AFFO).</t>
  </si>
  <si>
    <t xml:space="preserve">DLR ANCHORS (see '0. DLR Source Data')</t>
  </si>
  <si>
    <t xml:space="preserve">2026E Core FFO/share guidance</t>
  </si>
  <si>
    <t xml:space="preserve">$7.90–$8.00</t>
  </si>
  <si>
    <t xml:space="preserve">FY2025 reported Core FFO/share</t>
  </si>
  <si>
    <t xml:space="preserve">Annual dividend / share</t>
  </si>
  <si>
    <t xml:space="preserve">$4.88</t>
  </si>
  <si>
    <t xml:space="preserve">Net debt / Adj. EBITDA (actual)</t>
  </si>
  <si>
    <t xml:space="preserve">Historical Financials — 5 Years</t>
  </si>
  <si>
    <t xml:space="preserve">US$ in millions, FYE Dec 31. Source: DLR 10-K filings. Blue cells = hardcoded actuals from filings.</t>
  </si>
  <si>
    <t xml:space="preserve">Source / Notes</t>
  </si>
  <si>
    <t xml:space="preserve">INCOME STATEMENT</t>
  </si>
  <si>
    <t xml:space="preserve">Total revenue</t>
  </si>
  <si>
    <t xml:space="preserve">FY2025 sourced (SEC 8-K + Q4 release). Detail lines from 10-K.</t>
  </si>
  <si>
    <t xml:space="preserve">  Rental revenue</t>
  </si>
  <si>
    <t xml:space="preserve">[from 10-K]</t>
  </si>
  <si>
    <t xml:space="preserve">  Tenant reimbursements</t>
  </si>
  <si>
    <t xml:space="preserve">  Interconnection &amp; other</t>
  </si>
  <si>
    <t xml:space="preserve">Property operating expenses</t>
  </si>
  <si>
    <t xml:space="preserve">Real estate taxes</t>
  </si>
  <si>
    <t xml:space="preserve">Property NOI</t>
  </si>
  <si>
    <t xml:space="preserve">General &amp; administrative</t>
  </si>
  <si>
    <t xml:space="preserve">Depreciation &amp; amortization — RE</t>
  </si>
  <si>
    <t xml:space="preserve">Depreciation &amp; amortization — other</t>
  </si>
  <si>
    <t xml:space="preserve">Operating income</t>
  </si>
  <si>
    <t xml:space="preserve">Interest expense, net</t>
  </si>
  <si>
    <t xml:space="preserve">Other income / (expense)</t>
  </si>
  <si>
    <t xml:space="preserve">Pre-tax income</t>
  </si>
  <si>
    <t xml:space="preserve">Income tax</t>
  </si>
  <si>
    <t xml:space="preserve">Gain (loss) on sale of real estate</t>
  </si>
  <si>
    <t xml:space="preserve">Impairment of real estate</t>
  </si>
  <si>
    <t xml:space="preserve">Net income</t>
  </si>
  <si>
    <t xml:space="preserve">  Less: NCI / preferred dividends</t>
  </si>
  <si>
    <t xml:space="preserve">Net income to common shareholders</t>
  </si>
  <si>
    <t xml:space="preserve">Diluted shares outstanding (M)</t>
  </si>
  <si>
    <t xml:space="preserve">EPS — diluted</t>
  </si>
  <si>
    <t xml:space="preserve">BALANCE SHEET</t>
  </si>
  <si>
    <t xml:space="preserve">Investments in real estate, gross</t>
  </si>
  <si>
    <t xml:space="preserve">12/31/24 sourced; FY2025 col = 9/30/25 interim — update to 12/31/25 from 10-K.</t>
  </si>
  <si>
    <t xml:space="preserve">  Less: accumulated depreciation</t>
  </si>
  <si>
    <t xml:space="preserve">Investments in real estate, net</t>
  </si>
  <si>
    <t xml:space="preserve">Construction in progress</t>
  </si>
  <si>
    <t xml:space="preserve">Cash &amp; equivalents</t>
  </si>
  <si>
    <t xml:space="preserve">Accounts receivable</t>
  </si>
  <si>
    <t xml:space="preserve">Other assets</t>
  </si>
  <si>
    <t xml:space="preserve">Total assets</t>
  </si>
  <si>
    <t xml:space="preserve">Mortgages &amp; loans payable</t>
  </si>
  <si>
    <t xml:space="preserve">Unsecured senior notes</t>
  </si>
  <si>
    <t xml:space="preserve">Unsecured credit facility</t>
  </si>
  <si>
    <t xml:space="preserve">Accounts payable &amp; accrued</t>
  </si>
  <si>
    <t xml:space="preserve">Other liabilities</t>
  </si>
  <si>
    <t xml:space="preserve">Total liabilities</t>
  </si>
  <si>
    <t xml:space="preserve">Preferred stock</t>
  </si>
  <si>
    <t xml:space="preserve">Common equity</t>
  </si>
  <si>
    <t xml:space="preserve">Noncontrolling interests</t>
  </si>
  <si>
    <t xml:space="preserve">Total equity</t>
  </si>
  <si>
    <t xml:space="preserve">Total liabilities &amp; equity</t>
  </si>
  <si>
    <t xml:space="preserve">Check (should = 0)</t>
  </si>
  <si>
    <t xml:space="preserve">CASH FLOW STATEMENT</t>
  </si>
  <si>
    <t xml:space="preserve">  + D&amp;A</t>
  </si>
  <si>
    <t xml:space="preserve">  + Stock-based comp</t>
  </si>
  <si>
    <t xml:space="preserve">  + Straight-line rent adjustment</t>
  </si>
  <si>
    <t xml:space="preserve">  +/- Working capital</t>
  </si>
  <si>
    <t xml:space="preserve">  - Gain on sales</t>
  </si>
  <si>
    <t xml:space="preserve">Cash from operations (CFO)</t>
  </si>
  <si>
    <t xml:space="preserve">Development &amp; acquisition capex</t>
  </si>
  <si>
    <t xml:space="preserve">Recurring capex</t>
  </si>
  <si>
    <t xml:space="preserve">Proceeds from dispositions</t>
  </si>
  <si>
    <t xml:space="preserve">Cash from investing (CFI)</t>
  </si>
  <si>
    <t xml:space="preserve">Debt issuance</t>
  </si>
  <si>
    <t xml:space="preserve">Debt repayment</t>
  </si>
  <si>
    <t xml:space="preserve">Equity issuance / (repurchase)</t>
  </si>
  <si>
    <t xml:space="preserve">Common dividends paid</t>
  </si>
  <si>
    <t xml:space="preserve">Preferred dividends paid</t>
  </si>
  <si>
    <t xml:space="preserve">Cash from financing (CFF)</t>
  </si>
  <si>
    <t xml:space="preserve">Net change in cash</t>
  </si>
  <si>
    <t xml:space="preserve">Beginning cash</t>
  </si>
  <si>
    <t xml:space="preserve">Ending cash</t>
  </si>
  <si>
    <t xml:space="preserve">Segment Revenue &amp; NOI Build</t>
  </si>
  <si>
    <t xml:space="preserve">By segment × region. Historical 5Y from filings, forecast 5Y driven by SP-NOI growth assumptions.</t>
  </si>
  <si>
    <t xml:space="preserve">FY2025 total $6,110M is SOURCED; segment split F8:F11 is ILLUSTRATIVE — replace from 10-K.</t>
  </si>
  <si>
    <t xml:space="preserve">REVENUE BY SEGMENT</t>
  </si>
  <si>
    <t xml:space="preserve">NOI BY SEGMENT (assume 60% NOI margin)</t>
  </si>
  <si>
    <t xml:space="preserve">Total property NOI</t>
  </si>
  <si>
    <t xml:space="preserve">Development Pipeline Rollforward</t>
  </si>
  <si>
    <t xml:space="preserve">Each project: location, MW, expected stabilization, capital deployed, capital remaining, yield-on-cost.</t>
  </si>
  <si>
    <t xml:space="preserve">Project</t>
  </si>
  <si>
    <t xml:space="preserve">Region</t>
  </si>
  <si>
    <t xml:space="preserve">MW</t>
  </si>
  <si>
    <t xml:space="preserve">Stabilization</t>
  </si>
  <si>
    <t xml:space="preserve">Total cost ($M)</t>
  </si>
  <si>
    <t xml:space="preserve">Spent to date</t>
  </si>
  <si>
    <t xml:space="preserve">Remaining</t>
  </si>
  <si>
    <t xml:space="preserve">Yield-on-cost</t>
  </si>
  <si>
    <t xml:space="preserve">Stabilized NOI ($M)</t>
  </si>
  <si>
    <t xml:space="preserve">Notes</t>
  </si>
  <si>
    <t xml:space="preserve">[Add projects from DLR 10-K Schedule of Development Pipeline]</t>
  </si>
  <si>
    <t xml:space="preserve">Project Alpha (placeholder)</t>
  </si>
  <si>
    <t xml:space="preserve">Americas</t>
  </si>
  <si>
    <t xml:space="preserve">Q3 2026</t>
  </si>
  <si>
    <t xml:space="preserve">TOTALS</t>
  </si>
  <si>
    <t xml:space="preserve">Income Statement — Historical + 5-Year Forecast</t>
  </si>
  <si>
    <t xml:space="preserve">Historical: green-linked from Tab 2. Forecast: green-linked from Tab 3 (revenue/NOI) and Tab 1 (other drivers).</t>
  </si>
  <si>
    <t xml:space="preserve">Revenue &amp; Property NOI are wired (from Tab 3). Expense/D&amp;A/NI lines: historical from 10-K, forecast built from your operating assumptions. Valuation runs off Core FFO (Tab 8/9).</t>
  </si>
  <si>
    <t xml:space="preserve">G&amp;A expense</t>
  </si>
  <si>
    <t xml:space="preserve">[10-K]</t>
  </si>
  <si>
    <t xml:space="preserve">[build]</t>
  </si>
  <si>
    <t xml:space="preserve">D&amp;A — real estate</t>
  </si>
  <si>
    <t xml:space="preserve">D&amp;A — other</t>
  </si>
  <si>
    <t xml:space="preserve">Gain (loss) on sale of RE</t>
  </si>
  <si>
    <t xml:space="preserve">Net income to common</t>
  </si>
  <si>
    <t xml:space="preserve">Balance Sheet — Historical + 5-Year Forecast</t>
  </si>
  <si>
    <t xml:space="preserve">Real estate rolls forward by capex &amp; dispositions. Debt schedule embedded rows 60-90.</t>
  </si>
  <si>
    <t xml:space="preserve">ASSETS</t>
  </si>
  <si>
    <t xml:space="preserve">Real estate, gross</t>
  </si>
  <si>
    <t xml:space="preserve">Real estate, net</t>
  </si>
  <si>
    <t xml:space="preserve">TOTAL ASSETS</t>
  </si>
  <si>
    <t xml:space="preserve">LIABILITIES</t>
  </si>
  <si>
    <t xml:space="preserve">Mortgages payable</t>
  </si>
  <si>
    <t xml:space="preserve">Total debt</t>
  </si>
  <si>
    <t xml:space="preserve">TOTAL LIABILITIES</t>
  </si>
  <si>
    <t xml:space="preserve">EQUITY</t>
  </si>
  <si>
    <t xml:space="preserve">Common equity (par + APIC)</t>
  </si>
  <si>
    <t xml:space="preserve">Retained earnings (deficit)</t>
  </si>
  <si>
    <t xml:space="preserve">Accumulated OCI</t>
  </si>
  <si>
    <t xml:space="preserve">Total common equity</t>
  </si>
  <si>
    <t xml:space="preserve">TOTAL EQUITY</t>
  </si>
  <si>
    <t xml:space="preserve">TOTAL LIAB + EQUITY</t>
  </si>
  <si>
    <t xml:space="preserve">Check (Total Assets - Total L+E)</t>
  </si>
  <si>
    <t xml:space="preserve">Cash Flow Statement — Historical + 5-Year Forecast</t>
  </si>
  <si>
    <t xml:space="preserve">CFO derives from NI + D&amp;A + WC. CFI links capex from Tab 4. CFF links from Tab 1 + Tab 6.</t>
  </si>
  <si>
    <t xml:space="preserve">CASH FROM OPERATIONS</t>
  </si>
  <si>
    <t xml:space="preserve">  + D&amp;A (total)</t>
  </si>
  <si>
    <t xml:space="preserve">  - Gain on sales of RE</t>
  </si>
  <si>
    <t xml:space="preserve">CFO</t>
  </si>
  <si>
    <t xml:space="preserve">CASH FROM INVESTING</t>
  </si>
  <si>
    <t xml:space="preserve">CFI</t>
  </si>
  <si>
    <t xml:space="preserve">CASH FROM FINANCING</t>
  </si>
  <si>
    <t xml:space="preserve">Net equity issuance / (repurchase)</t>
  </si>
  <si>
    <t xml:space="preserve">CFF</t>
  </si>
  <si>
    <t xml:space="preserve">Ending cash (should tie to BS)</t>
  </si>
  <si>
    <t xml:space="preserve">FFO / AFFO Reconciliation</t>
  </si>
  <si>
    <t xml:space="preserve">The critical REIT-specific metrics. DLR headlines CORE FFO and bridges AFFO from it — reconcile line-by-line to management's reported figures (within 1–2% is institutional fluency).</t>
  </si>
  <si>
    <t xml:space="preserve">FY2025 REPORTED (sourced — reconcile bridge to these)</t>
  </si>
  <si>
    <t xml:space="preserve">Core FFO / share</t>
  </si>
  <si>
    <t xml:space="preserve">NAREIT FFO / share</t>
  </si>
  <si>
    <t xml:space="preserve">FFO RECONCILIATION (NAREIT)</t>
  </si>
  <si>
    <t xml:space="preserve">Dividend / share</t>
  </si>
  <si>
    <t xml:space="preserve">Diluted shares (M)</t>
  </si>
  <si>
    <t xml:space="preserve">Implied Core FFO ($M)</t>
  </si>
  <si>
    <t xml:space="preserve">(+) Real estate D&amp;A</t>
  </si>
  <si>
    <t xml:space="preserve">2026E Core FFO/sh (guid mid)</t>
  </si>
  <si>
    <t xml:space="preserve">(+) Impairments on depreciable RE</t>
  </si>
  <si>
    <t xml:space="preserve">(-) Gains on sales of depreciable RE</t>
  </si>
  <si>
    <t xml:space="preserve">(+/-) Proportionate JV adjustments</t>
  </si>
  <si>
    <t xml:space="preserve">(+/-) NCI adjustments</t>
  </si>
  <si>
    <t xml:space="preserve">FFO (NAREIT)</t>
  </si>
  <si>
    <t xml:space="preserve">FFO (NAREIT) per diluted share</t>
  </si>
  <si>
    <t xml:space="preserve">CORE FFO RECONCILIATION  (DLR headline metric)</t>
  </si>
  <si>
    <t xml:space="preserve">(+) Transaction &amp; integration costs</t>
  </si>
  <si>
    <t xml:space="preserve">(+/-) (Gain)/loss on debt extinguishment</t>
  </si>
  <si>
    <t xml:space="preserve">(+) Severance &amp; equity acceleration</t>
  </si>
  <si>
    <t xml:space="preserve">(+/-) Other non-core items</t>
  </si>
  <si>
    <t xml:space="preserve">CORE FFO</t>
  </si>
  <si>
    <t xml:space="preserve">Core FFO per diluted share</t>
  </si>
  <si>
    <t xml:space="preserve">AFFO RECONCILIATION  (bridged from Core FFO — DLR 10-item method)</t>
  </si>
  <si>
    <t xml:space="preserve">Core FFO</t>
  </si>
  <si>
    <t xml:space="preserve">(+) Non-real estate depreciation</t>
  </si>
  <si>
    <t xml:space="preserve">(+) Amort. of deferred financing costs</t>
  </si>
  <si>
    <t xml:space="preserve">(+/-) Amort. of debt discount/premium</t>
  </si>
  <si>
    <t xml:space="preserve">(+) Non-cash stock-based compensation</t>
  </si>
  <si>
    <t xml:space="preserve">(-) Straight-line rental revenue</t>
  </si>
  <si>
    <t xml:space="preserve">(+) Straight-line rental expense</t>
  </si>
  <si>
    <t xml:space="preserve">(+/-) Above/below-market rent amort.</t>
  </si>
  <si>
    <t xml:space="preserve">(+/-) Deferred tax</t>
  </si>
  <si>
    <t xml:space="preserve">(+) Leasing comp &amp; internal lease commissions</t>
  </si>
  <si>
    <t xml:space="preserve">(-) Recurring capex</t>
  </si>
  <si>
    <t xml:space="preserve">AFFO</t>
  </si>
  <si>
    <t xml:space="preserve">AFFO per diluted share</t>
  </si>
  <si>
    <t xml:space="preserve">AFFO payout ratio</t>
  </si>
  <si>
    <t xml:space="preserve">DLR RECONCILIATION GUIDANCE — see '0. DLR Source Data' for full detail</t>
  </si>
  <si>
    <t xml:space="preserve">Structure now mirrors DLR's disclosure: NAREIT FFO → Core FFO (headline) → AFFO.</t>
  </si>
  <si>
    <t xml:space="preserve">Core FFO block (rows 23–29): start from NAREIT FFO; add back transaction/integration costs,</t>
  </si>
  <si>
    <t xml:space="preserve">    (gain)/loss on debt extinguishment, severance &amp; equity acceleration, other non-core items.</t>
  </si>
  <si>
    <t xml:space="preserve">AFFO block (rows 35–47): bridged from CORE FFO using DLR's exact 10 items (non-RE depr.;</t>
  </si>
  <si>
    <t xml:space="preserve">    deferred-financing amort.; debt disc./prem. amort.; non-cash SBC; straight-line rent rev. &amp; exp.;</t>
  </si>
  <si>
    <t xml:space="preserve">    above/below-market rent amort.; deferred tax; leasing comp.; recurring capex).</t>
  </si>
  <si>
    <t xml:space="preserve">FY2025 reconciliation targets: Core FFO/sh ~$7.39  |  NAREIT FFO/sh ~$6.96  (within 1–2% = institutional fluency).</t>
  </si>
  <si>
    <t xml:space="preserve">Populate input rows from the 10-K / quarterly supplementals. Subtotals &amp; per-share lines are pre-wired.</t>
  </si>
  <si>
    <t xml:space="preserve">Valuation — DCF + NAV</t>
  </si>
  <si>
    <t xml:space="preserve">Two side-by-side approaches. Conclusion at bottom: DCF target vs. NAV target vs. current trading price.</t>
  </si>
  <si>
    <t xml:space="preserve">DCF VALUATION</t>
  </si>
  <si>
    <t xml:space="preserve">WACC build</t>
  </si>
  <si>
    <t xml:space="preserve">Cost of equity</t>
  </si>
  <si>
    <t xml:space="preserve">FCFE projection</t>
  </si>
  <si>
    <t xml:space="preserve">Terminal</t>
  </si>
  <si>
    <t xml:space="preserve">(-) Development capex</t>
  </si>
  <si>
    <t xml:space="preserve">(+) Debt issuance (net)</t>
  </si>
  <si>
    <t xml:space="preserve">FCFE</t>
  </si>
  <si>
    <t xml:space="preserve">Discount factor</t>
  </si>
  <si>
    <t xml:space="preserve">PV of FCFE</t>
  </si>
  <si>
    <t xml:space="preserve">Terminal value (exit-cap on terminal AFFO)</t>
  </si>
  <si>
    <t xml:space="preserve">PV of terminal value</t>
  </si>
  <si>
    <t xml:space="preserve">Sum PV of explicit FCFE (2026-30)</t>
  </si>
  <si>
    <t xml:space="preserve">(+) PV of terminal value</t>
  </si>
  <si>
    <t xml:space="preserve">Equity value</t>
  </si>
  <si>
    <t xml:space="preserve">DCF VALUE PER SHARE</t>
  </si>
  <si>
    <t xml:space="preserve">FCFE = AFFO − dev capex + net debt issuance; discounted at cost of equity, so the PV sum is equity value (no further net-debt bridge).</t>
  </si>
  <si>
    <t xml:space="preserve">NAV VALUATION</t>
  </si>
  <si>
    <t xml:space="preserve">Forward 12M stabilized NOI by segment</t>
  </si>
  <si>
    <t xml:space="preserve">Segment</t>
  </si>
  <si>
    <t xml:space="preserve">NOI ($M)</t>
  </si>
  <si>
    <t xml:space="preserve">Cap rate</t>
  </si>
  <si>
    <t xml:space="preserve">GAV ($M)</t>
  </si>
  <si>
    <t xml:space="preserve">Gross Asset Value — operating</t>
  </si>
  <si>
    <t xml:space="preserve">NAV cash (D50) &amp; debt (D51) link to Historicals; segment NOI (B42:B45) flows from Tab 3 (illustrative split — replace with 10-K segment NOI).</t>
  </si>
  <si>
    <t xml:space="preserve">(+) Development pipeline at cost</t>
  </si>
  <si>
    <t xml:space="preserve">(+) Cash &amp; equivalents</t>
  </si>
  <si>
    <t xml:space="preserve">(-) Total debt (market value)</t>
  </si>
  <si>
    <t xml:space="preserve">(-) Preferred equity</t>
  </si>
  <si>
    <t xml:space="preserve">NAV</t>
  </si>
  <si>
    <t xml:space="preserve">NAV PER SHARE</t>
  </si>
  <si>
    <t xml:space="preserve">VALUATION CONCLUSION</t>
  </si>
  <si>
    <t xml:space="preserve">DCF value per share</t>
  </si>
  <si>
    <t xml:space="preserve">NAV per share</t>
  </si>
  <si>
    <t xml:space="preserve">Current trading price</t>
  </si>
  <si>
    <t xml:space="preserve">Blended target price (50% DCF / 50% NAV)</t>
  </si>
  <si>
    <t xml:space="preserve">Implied upside / (downside)</t>
  </si>
  <si>
    <t xml:space="preserve">Recommendation</t>
  </si>
  <si>
    <t xml:space="preserve">[Buy / Hold / Sell — your call, based on the model output + your thesis]</t>
  </si>
  <si>
    <t xml:space="preserve">Sensitivity Tables &amp; Output Summary</t>
  </si>
  <si>
    <t xml:space="preserve">Two-way sensitivities on the most contested assumptions. Output summary feeds the memo PDF.</t>
  </si>
  <si>
    <t xml:space="preserve">Two-way tables below: build with Excel Data Table (Data → What-If → Data Table), row input = exit cap / cap rate, column input = WACC / SP-NOI growth, referencing the DCF (B33) &amp; NAV (D57) outputs.</t>
  </si>
  <si>
    <t xml:space="preserve">SENSITIVITY 1: WACC × Terminal Cap Rate → DCF Value Per Share</t>
  </si>
  <si>
    <t xml:space="preserve">WACC \ Exit Cap</t>
  </si>
  <si>
    <t xml:space="preserve">[link DCF output]</t>
  </si>
  <si>
    <t xml:space="preserve">SENSITIVITY 2: SP-NOI Growth × NAV Cap Rate → NAV Per Share</t>
  </si>
  <si>
    <t xml:space="preserve">SP-NOI Growth \ Cap Rate</t>
  </si>
  <si>
    <t xml:space="preserve">[link NAV output]</t>
  </si>
  <si>
    <t xml:space="preserve">OUTPUT SUMMARY (for memo)</t>
  </si>
  <si>
    <t xml:space="preserve">Current price</t>
  </si>
  <si>
    <t xml:space="preserve">DCF target</t>
  </si>
  <si>
    <t xml:space="preserve">NAV target</t>
  </si>
  <si>
    <t xml:space="preserve">Blended target</t>
  </si>
  <si>
    <t xml:space="preserve">Implied return</t>
  </si>
  <si>
    <t xml:space="preserve">Key thesis points</t>
  </si>
  <si>
    <t xml:space="preserve">[Paste 3-4 bullets here]</t>
  </si>
  <si>
    <t xml:space="preserve">Key risks</t>
  </si>
  <si>
    <t xml:space="preserve">[Paste 2-3 bullets here]</t>
  </si>
  <si>
    <t xml:space="preserve">Catalysts (next 12M)</t>
  </si>
  <si>
    <t xml:space="preserve">[Paste 3-5 bullets here]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</si>
</sst>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.00"/>
    <numFmt numFmtId="167" formatCode="\$#,##0;&quot;($&quot;#,##0\);\-"/>
    <numFmt numFmtId="168" formatCode="0.0\x"/>
    <numFmt numFmtId="169" formatCode="#,##0;\(#,##0\);\-"/>
    <numFmt numFmtId="170" formatCode="#,##0"/>
    <numFmt numFmtId="171" formatCode="\$#,##0.00"/>
    <numFmt numFmtId="172" formatCode="\$#,##0;&quot;($&quot;#,##0&quot;)-&quot;"/>
    <numFmt numFmtId="173" formatCode="0.0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D7C"/>
      <name val="Calibri"/>
      <family val="0"/>
      <charset val="1"/>
    </font>
    <font>
      <i val="true"/>
      <sz val="9"/>
      <color rgb="FF5B6472"/>
      <name val="Calibri"/>
      <family val="0"/>
      <charset val="1"/>
    </font>
    <font>
      <b val="true"/>
      <sz val="9"/>
      <color rgb="FFC9772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222222"/>
      <name val="Calibri"/>
      <family val="0"/>
      <charset val="1"/>
    </font>
    <font>
      <b val="true"/>
      <sz val="10"/>
      <color rgb="FF111111"/>
      <name val="Calibri"/>
      <family val="0"/>
      <charset val="1"/>
    </font>
    <font>
      <i val="true"/>
      <sz val="8.5"/>
      <color rgb="FF5B6472"/>
      <name val="Calibri"/>
      <family val="0"/>
      <charset val="1"/>
    </font>
    <font>
      <b val="true"/>
      <sz val="10"/>
      <color rgb="FF1A3D7C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A3D7C"/>
      <name val="Cambria"/>
      <family val="0"/>
      <charset val="1"/>
    </font>
    <font>
      <sz val="9"/>
      <color rgb="FF5B6472"/>
      <name val="Cambria"/>
      <family val="0"/>
      <charset val="1"/>
    </font>
    <font>
      <b val="true"/>
      <sz val="9"/>
      <color rgb="FF111111"/>
      <name val="Cambria"/>
      <family val="0"/>
      <charset val="1"/>
    </font>
    <font>
      <i val="true"/>
      <sz val="9"/>
      <color rgb="FF999999"/>
      <name val="Arial"/>
      <family val="0"/>
      <charset val="1"/>
    </font>
    <font>
      <sz val="10"/>
      <name val="Arial"/>
      <family val="2"/>
    </font>
    <font>
      <i val="true"/>
      <sz val="9"/>
      <color rgb="FFB27D5A"/>
      <name val="Arial"/>
      <family val="0"/>
      <charset val="1"/>
    </font>
    <font>
      <sz val="11"/>
      <color rgb="FF008000"/>
      <name val="Calibri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B6472"/>
      <name val="Cambria"/>
      <family val="0"/>
      <charset val="1"/>
    </font>
    <font>
      <b val="true"/>
      <sz val="11"/>
      <color rgb="FF1A3D7C"/>
      <name val="Arial"/>
      <family val="0"/>
      <charset val="1"/>
    </font>
    <font>
      <i val="true"/>
      <sz val="9"/>
      <color rgb="FF5B6472"/>
      <name val="Arial"/>
      <family val="0"/>
      <charset val="1"/>
    </font>
    <font>
      <i val="true"/>
      <sz val="11"/>
      <color rgb="FFB27D5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D7C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1A3D7C"/>
      </patternFill>
    </fill>
    <fill>
      <patternFill patternType="solid">
        <fgColor rgb="FFD9E1F2"/>
        <bgColor rgb="FFD8DCE3"/>
      </patternFill>
    </fill>
    <fill>
      <patternFill patternType="solid">
        <fgColor rgb="FFFFFF99"/>
        <bgColor rgb="FFFFF2CC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CE3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B27D5A"/>
      <rgbColor rgb="FF8FAADC"/>
      <rgbColor rgb="FF595959"/>
      <rgbColor rgb="FFFFF2CC"/>
      <rgbColor rgb="FFF2F2F2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C9772F"/>
      <rgbColor rgb="FF5B6472"/>
      <rgbColor rgb="FF999999"/>
      <rgbColor rgb="FF1F3864"/>
      <rgbColor rgb="FF70AD47"/>
      <rgbColor rgb="FF111111"/>
      <rgbColor rgb="FF333300"/>
      <rgbColor rgb="FF993300"/>
      <rgbColor rgb="FF993366"/>
      <rgbColor rgb="FF1A3D7C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22"/>
    <col collapsed="false" customWidth="true" hidden="false" outlineLevel="0" max="4" min="4" style="1" width="6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8" hidden="false" customHeight="true" outlineLevel="0" collapsed="false">
      <c r="B6" s="5" t="s">
        <v>3</v>
      </c>
      <c r="C6" s="6"/>
      <c r="D6" s="6"/>
    </row>
    <row r="7" customFormat="false" ht="15" hidden="false" customHeight="true" outlineLevel="0" collapsed="false">
      <c r="B7" s="7" t="s">
        <v>4</v>
      </c>
      <c r="C7" s="8" t="s">
        <v>5</v>
      </c>
      <c r="D7" s="9" t="s">
        <v>6</v>
      </c>
    </row>
    <row r="8" customFormat="false" ht="15" hidden="false" customHeight="true" outlineLevel="0" collapsed="false">
      <c r="B8" s="7" t="s">
        <v>7</v>
      </c>
      <c r="C8" s="8" t="s">
        <v>8</v>
      </c>
      <c r="D8" s="9" t="s">
        <v>9</v>
      </c>
    </row>
    <row r="9" customFormat="false" ht="15" hidden="false" customHeight="true" outlineLevel="0" collapsed="false">
      <c r="B9" s="7" t="s">
        <v>10</v>
      </c>
      <c r="C9" s="10" t="s">
        <v>11</v>
      </c>
      <c r="D9" s="9" t="s">
        <v>12</v>
      </c>
    </row>
    <row r="10" customFormat="false" ht="15" hidden="false" customHeight="true" outlineLevel="0" collapsed="false">
      <c r="B10" s="7" t="s">
        <v>13</v>
      </c>
      <c r="C10" s="10" t="s">
        <v>14</v>
      </c>
      <c r="D10" s="9" t="s">
        <v>15</v>
      </c>
    </row>
    <row r="11" customFormat="false" ht="15" hidden="false" customHeight="true" outlineLevel="0" collapsed="false">
      <c r="B11" s="7" t="s">
        <v>16</v>
      </c>
      <c r="C11" s="11" t="s">
        <v>17</v>
      </c>
      <c r="D11" s="9" t="s">
        <v>18</v>
      </c>
    </row>
    <row r="12" customFormat="false" ht="15" hidden="false" customHeight="true" outlineLevel="0" collapsed="false">
      <c r="B12" s="7" t="s">
        <v>19</v>
      </c>
      <c r="C12" s="10" t="s">
        <v>20</v>
      </c>
      <c r="D12" s="9" t="s">
        <v>21</v>
      </c>
    </row>
    <row r="13" customFormat="false" ht="15" hidden="false" customHeight="true" outlineLevel="0" collapsed="false">
      <c r="B13" s="7" t="s">
        <v>22</v>
      </c>
      <c r="C13" s="10" t="s">
        <v>23</v>
      </c>
      <c r="D13" s="9" t="s">
        <v>24</v>
      </c>
    </row>
    <row r="14" customFormat="false" ht="15" hidden="false" customHeight="true" outlineLevel="0" collapsed="false">
      <c r="B14" s="7" t="s">
        <v>25</v>
      </c>
      <c r="C14" s="8" t="s">
        <v>26</v>
      </c>
      <c r="D14" s="9" t="s">
        <v>27</v>
      </c>
    </row>
    <row r="15" customFormat="false" ht="15" hidden="false" customHeight="true" outlineLevel="0" collapsed="false">
      <c r="B15" s="7" t="s">
        <v>28</v>
      </c>
      <c r="C15" s="8" t="s">
        <v>29</v>
      </c>
      <c r="D15" s="9" t="s">
        <v>30</v>
      </c>
    </row>
    <row r="17" customFormat="false" ht="18" hidden="false" customHeight="true" outlineLevel="0" collapsed="false">
      <c r="B17" s="5" t="s">
        <v>31</v>
      </c>
      <c r="C17" s="6"/>
      <c r="D17" s="6"/>
    </row>
    <row r="18" customFormat="false" ht="15" hidden="false" customHeight="true" outlineLevel="0" collapsed="false">
      <c r="B18" s="7" t="s">
        <v>32</v>
      </c>
      <c r="C18" s="8" t="s">
        <v>33</v>
      </c>
      <c r="D18" s="9" t="s">
        <v>34</v>
      </c>
    </row>
    <row r="19" customFormat="false" ht="15" hidden="false" customHeight="true" outlineLevel="0" collapsed="false">
      <c r="B19" s="7" t="s">
        <v>35</v>
      </c>
      <c r="C19" s="10" t="s">
        <v>36</v>
      </c>
      <c r="D19" s="9" t="s">
        <v>37</v>
      </c>
    </row>
    <row r="20" customFormat="false" ht="15" hidden="false" customHeight="true" outlineLevel="0" collapsed="false">
      <c r="B20" s="7" t="s">
        <v>38</v>
      </c>
      <c r="C20" s="8" t="s">
        <v>39</v>
      </c>
      <c r="D20" s="9" t="s">
        <v>40</v>
      </c>
    </row>
    <row r="21" customFormat="false" ht="15" hidden="false" customHeight="true" outlineLevel="0" collapsed="false">
      <c r="B21" s="7" t="s">
        <v>41</v>
      </c>
      <c r="C21" s="10" t="s">
        <v>42</v>
      </c>
      <c r="D21" s="9" t="s">
        <v>43</v>
      </c>
    </row>
    <row r="22" customFormat="false" ht="15" hidden="false" customHeight="true" outlineLevel="0" collapsed="false">
      <c r="B22" s="7" t="s">
        <v>44</v>
      </c>
      <c r="C22" s="10" t="s">
        <v>45</v>
      </c>
      <c r="D22" s="9" t="s">
        <v>46</v>
      </c>
    </row>
    <row r="23" customFormat="false" ht="15" hidden="false" customHeight="true" outlineLevel="0" collapsed="false">
      <c r="B23" s="7" t="s">
        <v>47</v>
      </c>
      <c r="C23" s="10" t="s">
        <v>48</v>
      </c>
      <c r="D23" s="9" t="s">
        <v>49</v>
      </c>
    </row>
    <row r="24" customFormat="false" ht="15" hidden="false" customHeight="true" outlineLevel="0" collapsed="false">
      <c r="B24" s="7" t="s">
        <v>50</v>
      </c>
      <c r="C24" s="10" t="s">
        <v>51</v>
      </c>
      <c r="D24" s="9" t="s">
        <v>52</v>
      </c>
    </row>
    <row r="25" customFormat="false" ht="15" hidden="false" customHeight="false" outlineLevel="0" collapsed="false">
      <c r="B25" s="1" t="s">
        <v>53</v>
      </c>
      <c r="C25" s="1" t="s">
        <v>54</v>
      </c>
      <c r="D25" s="1" t="s">
        <v>55</v>
      </c>
    </row>
    <row r="26" customFormat="false" ht="18" hidden="false" customHeight="true" outlineLevel="0" collapsed="false">
      <c r="B26" s="5" t="s">
        <v>56</v>
      </c>
      <c r="C26" s="6"/>
      <c r="D26" s="6"/>
    </row>
    <row r="27" customFormat="false" ht="15" hidden="false" customHeight="true" outlineLevel="0" collapsed="false">
      <c r="B27" s="7" t="s">
        <v>57</v>
      </c>
      <c r="C27" s="11" t="s">
        <v>58</v>
      </c>
      <c r="D27" s="9" t="s">
        <v>59</v>
      </c>
    </row>
    <row r="28" customFormat="false" ht="15" hidden="false" customHeight="false" outlineLevel="0" collapsed="false">
      <c r="B28" s="1" t="s">
        <v>60</v>
      </c>
      <c r="C28" s="1" t="s">
        <v>61</v>
      </c>
      <c r="D28" s="1" t="s">
        <v>62</v>
      </c>
    </row>
    <row r="29" customFormat="false" ht="18" hidden="false" customHeight="true" outlineLevel="0" collapsed="false">
      <c r="B29" s="5" t="s">
        <v>63</v>
      </c>
      <c r="C29" s="6"/>
      <c r="D29" s="6"/>
    </row>
    <row r="30" customFormat="false" ht="15" hidden="false" customHeight="true" outlineLevel="0" collapsed="false">
      <c r="B30" s="7" t="s">
        <v>64</v>
      </c>
      <c r="C30" s="11" t="s">
        <v>65</v>
      </c>
      <c r="D30" s="9" t="s">
        <v>66</v>
      </c>
    </row>
    <row r="32" customFormat="false" ht="18" hidden="false" customHeight="true" outlineLevel="0" collapsed="false">
      <c r="B32" s="5" t="s">
        <v>67</v>
      </c>
      <c r="C32" s="6"/>
      <c r="D32" s="6"/>
    </row>
    <row r="33" customFormat="false" ht="15" hidden="false" customHeight="true" outlineLevel="0" collapsed="false">
      <c r="B33" s="12" t="s">
        <v>68</v>
      </c>
      <c r="C33" s="12"/>
      <c r="D33" s="12"/>
    </row>
    <row r="34" customFormat="false" ht="15" hidden="false" customHeight="true" outlineLevel="0" collapsed="false">
      <c r="B34" s="7" t="s">
        <v>69</v>
      </c>
      <c r="C34" s="10"/>
      <c r="D34" s="9"/>
    </row>
    <row r="35" customFormat="false" ht="15" hidden="false" customHeight="true" outlineLevel="0" collapsed="false">
      <c r="B35" s="7" t="s">
        <v>70</v>
      </c>
      <c r="C35" s="10"/>
      <c r="D35" s="9"/>
    </row>
    <row r="36" customFormat="false" ht="15" hidden="false" customHeight="true" outlineLevel="0" collapsed="false">
      <c r="B36" s="7" t="s">
        <v>71</v>
      </c>
      <c r="C36" s="10"/>
      <c r="D36" s="9"/>
    </row>
    <row r="37" customFormat="false" ht="15" hidden="false" customHeight="true" outlineLevel="0" collapsed="false">
      <c r="B37" s="7" t="s">
        <v>72</v>
      </c>
      <c r="C37" s="10"/>
      <c r="D37" s="9"/>
    </row>
    <row r="38" customFormat="false" ht="15" hidden="false" customHeight="true" outlineLevel="0" collapsed="false">
      <c r="B38" s="7" t="s">
        <v>73</v>
      </c>
      <c r="C38" s="10"/>
      <c r="D38" s="9"/>
    </row>
    <row r="39" customFormat="false" ht="15" hidden="false" customHeight="true" outlineLevel="0" collapsed="false">
      <c r="B39" s="7" t="s">
        <v>74</v>
      </c>
      <c r="C39" s="10"/>
      <c r="D39" s="9"/>
    </row>
    <row r="40" customFormat="false" ht="15" hidden="false" customHeight="true" outlineLevel="0" collapsed="false">
      <c r="B40" s="7" t="s">
        <v>75</v>
      </c>
      <c r="C40" s="10"/>
      <c r="D40" s="9"/>
    </row>
    <row r="41" customFormat="false" ht="15" hidden="false" customHeight="true" outlineLevel="0" collapsed="false">
      <c r="B41" s="7" t="s">
        <v>76</v>
      </c>
      <c r="C41" s="10"/>
      <c r="D41" s="9"/>
    </row>
    <row r="42" customFormat="false" ht="15" hidden="false" customHeight="true" outlineLevel="0" collapsed="false">
      <c r="B42" s="7" t="s">
        <v>77</v>
      </c>
      <c r="C42" s="10"/>
      <c r="D42" s="9"/>
    </row>
    <row r="43" customFormat="false" ht="15" hidden="false" customHeight="true" outlineLevel="0" collapsed="false">
      <c r="B43" s="7" t="s">
        <v>78</v>
      </c>
      <c r="C43" s="10"/>
      <c r="D43" s="9"/>
    </row>
    <row r="44" customFormat="false" ht="15" hidden="false" customHeight="true" outlineLevel="0" collapsed="false">
      <c r="B44" s="12" t="s">
        <v>79</v>
      </c>
      <c r="C44" s="12"/>
      <c r="D44" s="12"/>
    </row>
    <row r="45" customFormat="false" ht="15" hidden="false" customHeight="true" outlineLevel="0" collapsed="false">
      <c r="B45" s="12" t="s">
        <v>80</v>
      </c>
      <c r="C45" s="12"/>
      <c r="D45" s="12"/>
    </row>
    <row r="46" customFormat="false" ht="15" hidden="false" customHeight="true" outlineLevel="0" collapsed="false">
      <c r="B46" s="12" t="s">
        <v>81</v>
      </c>
      <c r="C46" s="12"/>
      <c r="D46" s="12"/>
    </row>
    <row r="48" customFormat="false" ht="18" hidden="false" customHeight="true" outlineLevel="0" collapsed="false">
      <c r="B48" s="5" t="s">
        <v>82</v>
      </c>
      <c r="C48" s="6"/>
      <c r="D48" s="6"/>
    </row>
    <row r="49" customFormat="false" ht="15" hidden="false" customHeight="true" outlineLevel="0" collapsed="false">
      <c r="B49" s="7" t="s">
        <v>83</v>
      </c>
      <c r="C49" s="10" t="s">
        <v>84</v>
      </c>
      <c r="D49" s="9" t="s">
        <v>85</v>
      </c>
    </row>
    <row r="50" customFormat="false" ht="15" hidden="false" customHeight="true" outlineLevel="0" collapsed="false">
      <c r="B50" s="7" t="s">
        <v>86</v>
      </c>
      <c r="C50" s="10" t="s">
        <v>87</v>
      </c>
      <c r="D50" s="9" t="s">
        <v>88</v>
      </c>
    </row>
    <row r="51" customFormat="false" ht="15" hidden="false" customHeight="true" outlineLevel="0" collapsed="false">
      <c r="B51" s="7" t="s">
        <v>89</v>
      </c>
      <c r="C51" s="10" t="s">
        <v>90</v>
      </c>
      <c r="D51" s="9" t="s">
        <v>91</v>
      </c>
    </row>
    <row r="52" customFormat="false" ht="15" hidden="false" customHeight="true" outlineLevel="0" collapsed="false">
      <c r="B52" s="7" t="s">
        <v>92</v>
      </c>
      <c r="C52" s="10" t="s">
        <v>93</v>
      </c>
      <c r="D52" s="9" t="s">
        <v>94</v>
      </c>
    </row>
    <row r="54" customFormat="false" ht="18" hidden="false" customHeight="true" outlineLevel="0" collapsed="false">
      <c r="B54" s="5" t="s">
        <v>95</v>
      </c>
      <c r="C54" s="6"/>
      <c r="D54" s="6"/>
    </row>
    <row r="55" customFormat="false" ht="15" hidden="false" customHeight="true" outlineLevel="0" collapsed="false">
      <c r="B55" s="7" t="s">
        <v>96</v>
      </c>
      <c r="C55" s="8" t="s">
        <v>97</v>
      </c>
      <c r="D55" s="9" t="s">
        <v>98</v>
      </c>
    </row>
    <row r="56" customFormat="false" ht="15" hidden="false" customHeight="true" outlineLevel="0" collapsed="false">
      <c r="B56" s="7" t="s">
        <v>99</v>
      </c>
      <c r="C56" s="10" t="s">
        <v>100</v>
      </c>
      <c r="D56" s="9" t="s">
        <v>101</v>
      </c>
    </row>
    <row r="57" customFormat="false" ht="15" hidden="false" customHeight="true" outlineLevel="0" collapsed="false">
      <c r="B57" s="7" t="s">
        <v>102</v>
      </c>
      <c r="C57" s="10" t="s">
        <v>103</v>
      </c>
      <c r="D57" s="9" t="s">
        <v>104</v>
      </c>
    </row>
    <row r="59" customFormat="false" ht="18" hidden="false" customHeight="true" outlineLevel="0" collapsed="false">
      <c r="B59" s="5" t="s">
        <v>105</v>
      </c>
      <c r="C59" s="6"/>
      <c r="D59" s="6"/>
    </row>
    <row r="60" customFormat="false" ht="15" hidden="false" customHeight="true" outlineLevel="0" collapsed="false">
      <c r="B60" s="13" t="s">
        <v>106</v>
      </c>
      <c r="C60" s="13"/>
      <c r="D60" s="13"/>
    </row>
    <row r="61" customFormat="false" ht="15" hidden="false" customHeight="true" outlineLevel="0" collapsed="false">
      <c r="B61" s="13" t="s">
        <v>107</v>
      </c>
      <c r="C61" s="13"/>
      <c r="D61" s="13"/>
    </row>
    <row r="62" customFormat="false" ht="15" hidden="false" customHeight="true" outlineLevel="0" collapsed="false">
      <c r="B62" s="13" t="s">
        <v>108</v>
      </c>
      <c r="C62" s="13"/>
      <c r="D62" s="13"/>
    </row>
    <row r="63" customFormat="false" ht="15" hidden="false" customHeight="true" outlineLevel="0" collapsed="false">
      <c r="B63" s="13" t="s">
        <v>109</v>
      </c>
      <c r="C63" s="13"/>
      <c r="D63" s="13"/>
    </row>
    <row r="64" customFormat="false" ht="15" hidden="false" customHeight="true" outlineLevel="0" collapsed="false">
      <c r="B64" s="13" t="s">
        <v>110</v>
      </c>
      <c r="C64" s="13"/>
      <c r="D64" s="13"/>
    </row>
    <row r="65" customFormat="false" ht="15" hidden="false" customHeight="true" outlineLevel="0" collapsed="false">
      <c r="B65" s="13" t="s">
        <v>111</v>
      </c>
      <c r="C65" s="13"/>
      <c r="D65" s="13"/>
    </row>
    <row r="67" customFormat="false" ht="18" hidden="false" customHeight="true" outlineLevel="0" collapsed="false">
      <c r="B67" s="5" t="s">
        <v>112</v>
      </c>
      <c r="C67" s="6"/>
      <c r="D67" s="6"/>
    </row>
    <row r="68" customFormat="false" ht="15" hidden="false" customHeight="true" outlineLevel="0" collapsed="false">
      <c r="B68" s="12" t="s">
        <v>113</v>
      </c>
      <c r="C68" s="12"/>
      <c r="D68" s="12"/>
    </row>
    <row r="69" customFormat="false" ht="15" hidden="false" customHeight="true" outlineLevel="0" collapsed="false">
      <c r="B69" s="12" t="s">
        <v>114</v>
      </c>
      <c r="C69" s="12"/>
      <c r="D69" s="12"/>
    </row>
    <row r="70" customFormat="false" ht="15" hidden="false" customHeight="true" outlineLevel="0" collapsed="false">
      <c r="B70" s="12" t="s">
        <v>115</v>
      </c>
      <c r="C70" s="12"/>
      <c r="D70" s="12"/>
    </row>
    <row r="71" customFormat="false" ht="15" hidden="false" customHeight="true" outlineLevel="0" collapsed="false">
      <c r="B71" s="12" t="s">
        <v>116</v>
      </c>
      <c r="C71" s="12"/>
      <c r="D71" s="12"/>
    </row>
    <row r="72" customFormat="false" ht="15" hidden="false" customHeight="true" outlineLevel="0" collapsed="false">
      <c r="B72" s="12" t="s">
        <v>117</v>
      </c>
      <c r="C72" s="12"/>
      <c r="D72" s="12"/>
    </row>
  </sheetData>
  <mergeCells count="15">
    <mergeCell ref="B33:D33"/>
    <mergeCell ref="B44:D44"/>
    <mergeCell ref="B45:D45"/>
    <mergeCell ref="B46:D46"/>
    <mergeCell ref="B60:D60"/>
    <mergeCell ref="B61:D61"/>
    <mergeCell ref="B62:D62"/>
    <mergeCell ref="B63:D63"/>
    <mergeCell ref="B64:D64"/>
    <mergeCell ref="B65:D65"/>
    <mergeCell ref="B68:D68"/>
    <mergeCell ref="B69:D69"/>
    <mergeCell ref="B70:D70"/>
    <mergeCell ref="B71:D71"/>
    <mergeCell ref="B72:D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1" min="2" style="1" width="14"/>
    <col collapsed="false" customWidth="true" hidden="false" outlineLevel="0" max="12" min="12" style="1" width="36"/>
  </cols>
  <sheetData>
    <row r="1" customFormat="false" ht="21.75" hidden="false" customHeight="true" outlineLevel="0" collapsed="false">
      <c r="A1" s="14" t="s">
        <v>118</v>
      </c>
    </row>
    <row r="2" customFormat="false" ht="15.75" hidden="false" customHeight="true" outlineLevel="0" collapsed="false">
      <c r="A2" s="15" t="s">
        <v>119</v>
      </c>
    </row>
    <row r="4" customFormat="false" ht="15" hidden="false" customHeight="true" outlineLevel="0" collapsed="false"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  <c r="I4" s="16" t="s">
        <v>127</v>
      </c>
      <c r="J4" s="16" t="s">
        <v>128</v>
      </c>
      <c r="K4" s="16" t="s">
        <v>129</v>
      </c>
      <c r="L4" s="17" t="s">
        <v>130</v>
      </c>
    </row>
    <row r="5" customFormat="false" ht="15" hidden="false" customHeight="true" outlineLevel="0" collapsed="false">
      <c r="B5" s="18" t="s">
        <v>131</v>
      </c>
      <c r="C5" s="18" t="s">
        <v>131</v>
      </c>
      <c r="D5" s="18" t="s">
        <v>131</v>
      </c>
      <c r="E5" s="18" t="s">
        <v>131</v>
      </c>
      <c r="F5" s="18" t="s">
        <v>131</v>
      </c>
      <c r="G5" s="18" t="s">
        <v>132</v>
      </c>
      <c r="H5" s="18" t="s">
        <v>132</v>
      </c>
      <c r="I5" s="18" t="s">
        <v>132</v>
      </c>
      <c r="J5" s="18" t="s">
        <v>132</v>
      </c>
      <c r="K5" s="18" t="s">
        <v>132</v>
      </c>
    </row>
    <row r="7" customFormat="false" ht="15" hidden="false" customHeight="true" outlineLevel="0" collapsed="false">
      <c r="A7" s="19" t="s">
        <v>133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customFormat="false" ht="15" hidden="false" customHeight="true" outlineLevel="0" collapsed="false">
      <c r="A8" s="21" t="s">
        <v>134</v>
      </c>
      <c r="B8" s="22" t="n">
        <v>0.045</v>
      </c>
      <c r="L8" s="15" t="s">
        <v>135</v>
      </c>
    </row>
    <row r="9" customFormat="false" ht="15" hidden="false" customHeight="true" outlineLevel="0" collapsed="false">
      <c r="A9" s="21" t="s">
        <v>136</v>
      </c>
      <c r="B9" s="22" t="n">
        <v>0.055</v>
      </c>
      <c r="L9" s="15" t="s">
        <v>137</v>
      </c>
    </row>
    <row r="10" customFormat="false" ht="15" hidden="false" customHeight="true" outlineLevel="0" collapsed="false">
      <c r="A10" s="21" t="s">
        <v>138</v>
      </c>
      <c r="B10" s="23" t="n">
        <v>1.1</v>
      </c>
      <c r="L10" s="15" t="s">
        <v>139</v>
      </c>
    </row>
    <row r="11" customFormat="false" ht="15" hidden="false" customHeight="true" outlineLevel="0" collapsed="false">
      <c r="A11" s="21" t="s">
        <v>140</v>
      </c>
      <c r="B11" s="22" t="n">
        <v>0.025</v>
      </c>
      <c r="L11" s="15" t="s">
        <v>141</v>
      </c>
    </row>
    <row r="12" customFormat="false" ht="15" hidden="false" customHeight="true" outlineLevel="0" collapsed="false">
      <c r="A12" s="21" t="s">
        <v>142</v>
      </c>
      <c r="B12" s="22" t="n">
        <v>0.025</v>
      </c>
      <c r="L12" s="15"/>
    </row>
    <row r="15" customFormat="false" ht="15" hidden="false" customHeight="true" outlineLevel="0" collapsed="false">
      <c r="A15" s="19" t="s">
        <v>143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customFormat="false" ht="15" hidden="false" customHeight="true" outlineLevel="0" collapsed="false">
      <c r="A16" s="21" t="s">
        <v>144</v>
      </c>
      <c r="G16" s="22" t="n">
        <v>0.03</v>
      </c>
      <c r="H16" s="22" t="n">
        <v>0.04</v>
      </c>
      <c r="I16" s="22" t="n">
        <v>0.05</v>
      </c>
      <c r="J16" s="22" t="n">
        <v>0.045</v>
      </c>
      <c r="K16" s="22" t="n">
        <v>0.04</v>
      </c>
    </row>
    <row r="17" customFormat="false" ht="15" hidden="false" customHeight="true" outlineLevel="0" collapsed="false">
      <c r="A17" s="21" t="s">
        <v>145</v>
      </c>
      <c r="G17" s="22" t="n">
        <v>0.025</v>
      </c>
      <c r="H17" s="22" t="n">
        <v>0.035</v>
      </c>
      <c r="I17" s="22" t="n">
        <v>0.045</v>
      </c>
      <c r="J17" s="22" t="n">
        <v>0.04</v>
      </c>
      <c r="K17" s="22" t="n">
        <v>0.035</v>
      </c>
    </row>
    <row r="18" customFormat="false" ht="15" hidden="false" customHeight="true" outlineLevel="0" collapsed="false">
      <c r="A18" s="21" t="s">
        <v>146</v>
      </c>
      <c r="G18" s="22" t="n">
        <v>0.04</v>
      </c>
      <c r="H18" s="22" t="n">
        <v>0.05</v>
      </c>
      <c r="I18" s="22" t="n">
        <v>0.06</v>
      </c>
      <c r="J18" s="22" t="n">
        <v>0.055</v>
      </c>
      <c r="K18" s="22" t="n">
        <v>0.05</v>
      </c>
    </row>
    <row r="19" customFormat="false" ht="15" hidden="false" customHeight="true" outlineLevel="0" collapsed="false">
      <c r="A19" s="21" t="s">
        <v>147</v>
      </c>
      <c r="G19" s="22" t="n">
        <v>0.02</v>
      </c>
      <c r="H19" s="22" t="n">
        <v>0.025</v>
      </c>
      <c r="I19" s="22" t="n">
        <v>0.03</v>
      </c>
      <c r="J19" s="22" t="n">
        <v>0.03</v>
      </c>
      <c r="K19" s="22" t="n">
        <v>0.025</v>
      </c>
    </row>
    <row r="22" customFormat="false" ht="15" hidden="false" customHeight="true" outlineLevel="0" collapsed="false">
      <c r="A22" s="19" t="s">
        <v>148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customFormat="false" ht="15" hidden="false" customHeight="true" outlineLevel="0" collapsed="false">
      <c r="A23" s="21" t="s">
        <v>149</v>
      </c>
      <c r="G23" s="24" t="n">
        <v>800</v>
      </c>
      <c r="H23" s="24" t="n">
        <v>1000</v>
      </c>
      <c r="I23" s="24" t="n">
        <v>1200</v>
      </c>
      <c r="J23" s="24" t="n">
        <v>1300</v>
      </c>
      <c r="K23" s="24" t="n">
        <v>1100</v>
      </c>
      <c r="L23" s="15" t="s">
        <v>150</v>
      </c>
    </row>
    <row r="24" customFormat="false" ht="15" hidden="false" customHeight="true" outlineLevel="0" collapsed="false">
      <c r="A24" s="21" t="s">
        <v>151</v>
      </c>
      <c r="G24" s="22" t="n">
        <v>0.04</v>
      </c>
      <c r="H24" s="22" t="n">
        <v>0.04</v>
      </c>
      <c r="I24" s="22" t="n">
        <v>0.04</v>
      </c>
      <c r="J24" s="22" t="n">
        <v>0.04</v>
      </c>
      <c r="K24" s="22" t="n">
        <v>0.04</v>
      </c>
      <c r="L24" s="15" t="s">
        <v>152</v>
      </c>
    </row>
    <row r="25" customFormat="false" ht="15" hidden="false" customHeight="true" outlineLevel="0" collapsed="false">
      <c r="A25" s="21" t="s">
        <v>153</v>
      </c>
      <c r="G25" s="25" t="n">
        <v>5</v>
      </c>
      <c r="H25" s="25" t="n">
        <v>5</v>
      </c>
      <c r="I25" s="25" t="n">
        <v>5</v>
      </c>
      <c r="J25" s="25" t="n">
        <v>5</v>
      </c>
      <c r="K25" s="25" t="n">
        <v>5</v>
      </c>
      <c r="L25" s="15" t="s">
        <v>154</v>
      </c>
    </row>
    <row r="26" customFormat="false" ht="15" hidden="false" customHeight="true" outlineLevel="0" collapsed="false">
      <c r="A26" s="21" t="s">
        <v>155</v>
      </c>
      <c r="G26" s="22" t="n">
        <v>0.68</v>
      </c>
      <c r="H26" s="22" t="n">
        <v>0.68</v>
      </c>
      <c r="I26" s="22" t="n">
        <v>0.68</v>
      </c>
      <c r="J26" s="22" t="n">
        <v>0.68</v>
      </c>
      <c r="K26" s="22" t="n">
        <v>0.68</v>
      </c>
      <c r="L26" s="15" t="s">
        <v>156</v>
      </c>
    </row>
    <row r="27" customFormat="false" ht="15" hidden="false" customHeight="true" outlineLevel="0" collapsed="false">
      <c r="A27" s="21" t="s">
        <v>157</v>
      </c>
      <c r="G27" s="22" t="n">
        <v>0.042</v>
      </c>
      <c r="H27" s="22" t="n">
        <v>0.042</v>
      </c>
      <c r="I27" s="22" t="n">
        <v>0.042</v>
      </c>
      <c r="J27" s="22" t="n">
        <v>0.042</v>
      </c>
      <c r="K27" s="22" t="n">
        <v>0.042</v>
      </c>
      <c r="L27" s="15"/>
    </row>
    <row r="28" customFormat="false" ht="15" hidden="false" customHeight="false" outlineLevel="0" collapsed="false">
      <c r="A28" s="1" t="s">
        <v>158</v>
      </c>
      <c r="G28" s="26" t="n">
        <v>0.075</v>
      </c>
      <c r="H28" s="26" t="n">
        <v>0.06</v>
      </c>
      <c r="I28" s="26" t="n">
        <v>0.05</v>
      </c>
      <c r="J28" s="26" t="n">
        <v>0.05</v>
      </c>
      <c r="K28" s="26" t="n">
        <v>0.04</v>
      </c>
      <c r="L28" s="1" t="s">
        <v>159</v>
      </c>
    </row>
    <row r="30" customFormat="false" ht="15" hidden="false" customHeight="true" outlineLevel="0" collapsed="false">
      <c r="A30" s="19" t="s">
        <v>160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5" hidden="false" customHeight="true" outlineLevel="0" collapsed="false">
      <c r="A31" s="21" t="s">
        <v>161</v>
      </c>
      <c r="B31" s="27" t="n">
        <f aca="false">B8+B10*B9</f>
        <v>0.1055</v>
      </c>
      <c r="L31" s="15" t="s">
        <v>162</v>
      </c>
    </row>
    <row r="32" customFormat="false" ht="15" hidden="false" customHeight="true" outlineLevel="0" collapsed="false">
      <c r="A32" s="21" t="s">
        <v>163</v>
      </c>
      <c r="B32" s="22" t="n">
        <v>0.045</v>
      </c>
      <c r="L32" s="15" t="s">
        <v>164</v>
      </c>
    </row>
    <row r="33" customFormat="false" ht="15" hidden="false" customHeight="true" outlineLevel="0" collapsed="false">
      <c r="A33" s="21" t="s">
        <v>165</v>
      </c>
      <c r="B33" s="22" t="n">
        <v>0.45</v>
      </c>
      <c r="L33" s="15" t="s">
        <v>166</v>
      </c>
    </row>
    <row r="34" customFormat="false" ht="15" hidden="false" customHeight="true" outlineLevel="0" collapsed="false">
      <c r="A34" s="21" t="s">
        <v>167</v>
      </c>
      <c r="B34" s="27" t="n">
        <f aca="false">(1-B33)*B31+B33*B32</f>
        <v>0.078275</v>
      </c>
      <c r="L34" s="15" t="s">
        <v>168</v>
      </c>
    </row>
    <row r="35" customFormat="false" ht="15" hidden="false" customHeight="true" outlineLevel="0" collapsed="false">
      <c r="A35" s="21" t="s">
        <v>169</v>
      </c>
      <c r="B35" s="28" t="n">
        <v>0.065</v>
      </c>
      <c r="L35" s="15" t="s">
        <v>170</v>
      </c>
    </row>
    <row r="36" customFormat="false" ht="15" hidden="false" customHeight="true" outlineLevel="0" collapsed="false">
      <c r="A36" s="21" t="s">
        <v>171</v>
      </c>
      <c r="B36" s="28" t="n">
        <v>0.065</v>
      </c>
      <c r="L36" s="15" t="s">
        <v>172</v>
      </c>
    </row>
    <row r="37" customFormat="false" ht="15" hidden="false" customHeight="true" outlineLevel="0" collapsed="false">
      <c r="A37" s="21" t="s">
        <v>173</v>
      </c>
      <c r="B37" s="28" t="n">
        <v>0.06</v>
      </c>
      <c r="L37" s="15"/>
    </row>
    <row r="38" customFormat="false" ht="15" hidden="false" customHeight="false" outlineLevel="0" collapsed="false">
      <c r="A38" s="1" t="s">
        <v>174</v>
      </c>
      <c r="B38" s="26" t="n">
        <v>0.88</v>
      </c>
      <c r="L38" s="1" t="s">
        <v>175</v>
      </c>
    </row>
    <row r="39" customFormat="false" ht="15" hidden="false" customHeight="false" outlineLevel="0" collapsed="false">
      <c r="A39" s="1" t="s">
        <v>176</v>
      </c>
      <c r="B39" s="26" t="n">
        <v>0.5</v>
      </c>
      <c r="L39" s="1" t="s">
        <v>177</v>
      </c>
    </row>
    <row r="40" customFormat="false" ht="15" hidden="false" customHeight="true" outlineLevel="0" collapsed="false">
      <c r="A40" s="29" t="s">
        <v>178</v>
      </c>
    </row>
    <row r="41" customFormat="false" ht="15" hidden="false" customHeight="true" outlineLevel="0" collapsed="false">
      <c r="A41" s="30" t="s">
        <v>179</v>
      </c>
      <c r="B41" s="31" t="s">
        <v>180</v>
      </c>
    </row>
    <row r="42" customFormat="false" ht="15" hidden="false" customHeight="true" outlineLevel="0" collapsed="false">
      <c r="A42" s="30" t="s">
        <v>181</v>
      </c>
      <c r="B42" s="31" t="s">
        <v>17</v>
      </c>
    </row>
    <row r="43" customFormat="false" ht="15" hidden="false" customHeight="true" outlineLevel="0" collapsed="false">
      <c r="A43" s="30" t="s">
        <v>182</v>
      </c>
      <c r="B43" s="31" t="s">
        <v>183</v>
      </c>
    </row>
    <row r="44" customFormat="false" ht="15" hidden="false" customHeight="true" outlineLevel="0" collapsed="false">
      <c r="A44" s="30" t="s">
        <v>184</v>
      </c>
      <c r="B44" s="3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4"/>
    <col collapsed="false" customWidth="true" hidden="false" outlineLevel="0" max="7" min="7" style="1" width="36"/>
  </cols>
  <sheetData>
    <row r="1" customFormat="false" ht="21.75" hidden="false" customHeight="true" outlineLevel="0" collapsed="false">
      <c r="A1" s="14" t="s">
        <v>185</v>
      </c>
    </row>
    <row r="2" customFormat="false" ht="15.75" hidden="false" customHeight="true" outlineLevel="0" collapsed="false">
      <c r="A2" s="15" t="s">
        <v>186</v>
      </c>
    </row>
    <row r="4" customFormat="false" ht="15" hidden="false" customHeight="true" outlineLevel="0" collapsed="false"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7" t="s">
        <v>187</v>
      </c>
    </row>
    <row r="5" customFormat="false" ht="15" hidden="false" customHeight="true" outlineLevel="0" collapsed="false">
      <c r="B5" s="18" t="s">
        <v>131</v>
      </c>
      <c r="C5" s="18" t="s">
        <v>131</v>
      </c>
      <c r="D5" s="18" t="s">
        <v>131</v>
      </c>
      <c r="E5" s="18" t="s">
        <v>131</v>
      </c>
      <c r="F5" s="18" t="s">
        <v>131</v>
      </c>
    </row>
    <row r="7" customFormat="false" ht="15" hidden="false" customHeight="true" outlineLevel="0" collapsed="false">
      <c r="A7" s="19" t="s">
        <v>188</v>
      </c>
      <c r="B7" s="20"/>
      <c r="C7" s="20"/>
      <c r="D7" s="20"/>
      <c r="E7" s="20"/>
      <c r="F7" s="20"/>
      <c r="G7" s="20"/>
    </row>
    <row r="9" customFormat="false" ht="15" hidden="false" customHeight="true" outlineLevel="0" collapsed="false">
      <c r="A9" s="32" t="s">
        <v>189</v>
      </c>
      <c r="B9" s="24"/>
      <c r="C9" s="24"/>
      <c r="D9" s="24"/>
      <c r="E9" s="24"/>
      <c r="F9" s="33" t="n">
        <v>6110</v>
      </c>
      <c r="G9" s="15" t="s">
        <v>190</v>
      </c>
    </row>
    <row r="10" customFormat="false" ht="15" hidden="false" customHeight="true" outlineLevel="0" collapsed="false">
      <c r="A10" s="21" t="s">
        <v>191</v>
      </c>
      <c r="B10" s="24"/>
      <c r="C10" s="24"/>
      <c r="D10" s="24"/>
      <c r="E10" s="24"/>
      <c r="F10" s="34" t="s">
        <v>192</v>
      </c>
    </row>
    <row r="11" customFormat="false" ht="15" hidden="false" customHeight="true" outlineLevel="0" collapsed="false">
      <c r="A11" s="21" t="s">
        <v>193</v>
      </c>
      <c r="B11" s="24"/>
      <c r="C11" s="24"/>
      <c r="D11" s="24"/>
      <c r="E11" s="24"/>
      <c r="F11" s="34" t="s">
        <v>192</v>
      </c>
    </row>
    <row r="12" customFormat="false" ht="15" hidden="false" customHeight="true" outlineLevel="0" collapsed="false">
      <c r="A12" s="21" t="s">
        <v>194</v>
      </c>
      <c r="B12" s="24"/>
      <c r="C12" s="24"/>
      <c r="D12" s="24"/>
      <c r="E12" s="24"/>
      <c r="F12" s="34" t="s">
        <v>192</v>
      </c>
    </row>
    <row r="13" customFormat="false" ht="15" hidden="false" customHeight="true" outlineLevel="0" collapsed="false">
      <c r="A13" s="32" t="s">
        <v>195</v>
      </c>
      <c r="B13" s="24"/>
      <c r="C13" s="24"/>
      <c r="D13" s="24"/>
      <c r="E13" s="24"/>
      <c r="F13" s="34" t="s">
        <v>192</v>
      </c>
    </row>
    <row r="14" customFormat="false" ht="15" hidden="false" customHeight="true" outlineLevel="0" collapsed="false">
      <c r="A14" s="32" t="s">
        <v>196</v>
      </c>
      <c r="B14" s="24"/>
      <c r="C14" s="24"/>
      <c r="D14" s="24"/>
      <c r="E14" s="24"/>
      <c r="F14" s="34" t="s">
        <v>192</v>
      </c>
    </row>
    <row r="15" customFormat="false" ht="15" hidden="false" customHeight="true" outlineLevel="0" collapsed="false">
      <c r="A15" s="32" t="s">
        <v>197</v>
      </c>
      <c r="B15" s="24"/>
      <c r="C15" s="24"/>
      <c r="D15" s="24"/>
      <c r="E15" s="24"/>
      <c r="F15" s="24"/>
    </row>
    <row r="16" customFormat="false" ht="15" hidden="false" customHeight="true" outlineLevel="0" collapsed="false">
      <c r="A16" s="32" t="s">
        <v>198</v>
      </c>
      <c r="B16" s="24"/>
      <c r="C16" s="24"/>
      <c r="D16" s="24"/>
      <c r="E16" s="24"/>
      <c r="F16" s="34" t="s">
        <v>192</v>
      </c>
    </row>
    <row r="17" customFormat="false" ht="15" hidden="false" customHeight="true" outlineLevel="0" collapsed="false">
      <c r="A17" s="32" t="s">
        <v>199</v>
      </c>
      <c r="B17" s="24"/>
      <c r="C17" s="24"/>
      <c r="D17" s="24"/>
      <c r="E17" s="24"/>
      <c r="F17" s="34" t="s">
        <v>192</v>
      </c>
    </row>
    <row r="18" customFormat="false" ht="15" hidden="false" customHeight="true" outlineLevel="0" collapsed="false">
      <c r="A18" s="32" t="s">
        <v>200</v>
      </c>
      <c r="B18" s="24"/>
      <c r="C18" s="24"/>
      <c r="D18" s="24"/>
      <c r="E18" s="24"/>
      <c r="F18" s="34" t="s">
        <v>192</v>
      </c>
    </row>
    <row r="19" customFormat="false" ht="15" hidden="false" customHeight="true" outlineLevel="0" collapsed="false">
      <c r="A19" s="32" t="s">
        <v>201</v>
      </c>
      <c r="B19" s="24"/>
      <c r="C19" s="24"/>
      <c r="D19" s="24"/>
      <c r="E19" s="24"/>
      <c r="F19" s="24"/>
    </row>
    <row r="20" customFormat="false" ht="15" hidden="false" customHeight="true" outlineLevel="0" collapsed="false">
      <c r="A20" s="32" t="s">
        <v>202</v>
      </c>
      <c r="B20" s="24"/>
      <c r="C20" s="24"/>
      <c r="D20" s="24"/>
      <c r="E20" s="24"/>
      <c r="F20" s="34" t="s">
        <v>192</v>
      </c>
    </row>
    <row r="21" customFormat="false" ht="15" hidden="false" customHeight="true" outlineLevel="0" collapsed="false">
      <c r="A21" s="32" t="s">
        <v>203</v>
      </c>
      <c r="B21" s="24"/>
      <c r="C21" s="24"/>
      <c r="D21" s="24"/>
      <c r="E21" s="24"/>
      <c r="F21" s="34" t="s">
        <v>192</v>
      </c>
    </row>
    <row r="22" customFormat="false" ht="15" hidden="false" customHeight="true" outlineLevel="0" collapsed="false">
      <c r="A22" s="32" t="s">
        <v>204</v>
      </c>
      <c r="B22" s="24"/>
      <c r="C22" s="24"/>
      <c r="D22" s="24"/>
      <c r="E22" s="24"/>
      <c r="F22" s="24"/>
    </row>
    <row r="23" customFormat="false" ht="15" hidden="false" customHeight="true" outlineLevel="0" collapsed="false">
      <c r="A23" s="32" t="s">
        <v>205</v>
      </c>
      <c r="B23" s="24"/>
      <c r="C23" s="24"/>
      <c r="D23" s="24"/>
      <c r="E23" s="24"/>
      <c r="F23" s="34" t="s">
        <v>192</v>
      </c>
    </row>
    <row r="24" customFormat="false" ht="15" hidden="false" customHeight="true" outlineLevel="0" collapsed="false">
      <c r="A24" s="32" t="s">
        <v>206</v>
      </c>
      <c r="B24" s="24"/>
      <c r="C24" s="24"/>
      <c r="D24" s="24"/>
      <c r="E24" s="24"/>
      <c r="F24" s="34" t="s">
        <v>192</v>
      </c>
    </row>
    <row r="25" customFormat="false" ht="15" hidden="false" customHeight="true" outlineLevel="0" collapsed="false">
      <c r="A25" s="32" t="s">
        <v>207</v>
      </c>
      <c r="B25" s="24"/>
      <c r="C25" s="24"/>
      <c r="D25" s="24"/>
      <c r="E25" s="24"/>
      <c r="F25" s="34" t="s">
        <v>192</v>
      </c>
    </row>
    <row r="26" customFormat="false" ht="15" hidden="false" customHeight="true" outlineLevel="0" collapsed="false">
      <c r="A26" s="32" t="s">
        <v>208</v>
      </c>
      <c r="B26" s="24"/>
      <c r="C26" s="24"/>
      <c r="D26" s="24"/>
      <c r="E26" s="24"/>
      <c r="F26" s="34" t="s">
        <v>192</v>
      </c>
    </row>
    <row r="27" customFormat="false" ht="15" hidden="false" customHeight="true" outlineLevel="0" collapsed="false">
      <c r="A27" s="21" t="s">
        <v>209</v>
      </c>
      <c r="B27" s="24"/>
      <c r="C27" s="24"/>
      <c r="D27" s="24"/>
      <c r="E27" s="24"/>
      <c r="F27" s="34" t="s">
        <v>192</v>
      </c>
    </row>
    <row r="28" customFormat="false" ht="15" hidden="false" customHeight="true" outlineLevel="0" collapsed="false">
      <c r="A28" s="32" t="s">
        <v>210</v>
      </c>
      <c r="B28" s="24"/>
      <c r="C28" s="24"/>
      <c r="D28" s="24"/>
      <c r="E28" s="24"/>
      <c r="F28" s="34" t="s">
        <v>192</v>
      </c>
    </row>
    <row r="29" customFormat="false" ht="15" hidden="false" customHeight="true" outlineLevel="0" collapsed="false">
      <c r="A29" s="32" t="s">
        <v>211</v>
      </c>
      <c r="B29" s="24"/>
      <c r="C29" s="24"/>
      <c r="D29" s="24"/>
      <c r="E29" s="24"/>
      <c r="F29" s="33" t="n">
        <v>346</v>
      </c>
    </row>
    <row r="30" customFormat="false" ht="15" hidden="false" customHeight="true" outlineLevel="0" collapsed="false">
      <c r="A30" s="32" t="s">
        <v>212</v>
      </c>
      <c r="B30" s="24"/>
      <c r="C30" s="24"/>
      <c r="D30" s="24"/>
      <c r="E30" s="24"/>
      <c r="F30" s="34" t="s">
        <v>192</v>
      </c>
    </row>
    <row r="35" customFormat="false" ht="15" hidden="false" customHeight="true" outlineLevel="0" collapsed="false">
      <c r="A35" s="19" t="s">
        <v>213</v>
      </c>
      <c r="B35" s="20"/>
      <c r="C35" s="20"/>
      <c r="D35" s="20"/>
      <c r="E35" s="20"/>
      <c r="F35" s="20"/>
      <c r="G35" s="20"/>
    </row>
    <row r="37" customFormat="false" ht="15" hidden="false" customHeight="true" outlineLevel="0" collapsed="false">
      <c r="A37" s="32" t="s">
        <v>214</v>
      </c>
      <c r="B37" s="24"/>
      <c r="C37" s="24"/>
      <c r="D37" s="24"/>
      <c r="E37" s="33" t="n">
        <v>35402</v>
      </c>
      <c r="F37" s="35" t="n">
        <v>39375</v>
      </c>
      <c r="G37" s="1" t="s">
        <v>215</v>
      </c>
    </row>
    <row r="38" customFormat="false" ht="15" hidden="false" customHeight="true" outlineLevel="0" collapsed="false">
      <c r="A38" s="21" t="s">
        <v>216</v>
      </c>
      <c r="B38" s="24"/>
      <c r="C38" s="24"/>
      <c r="D38" s="24"/>
      <c r="E38" s="24"/>
      <c r="F38" s="34" t="s">
        <v>192</v>
      </c>
    </row>
    <row r="39" customFormat="false" ht="15" hidden="false" customHeight="true" outlineLevel="0" collapsed="false">
      <c r="A39" s="32" t="s">
        <v>217</v>
      </c>
      <c r="B39" s="24"/>
      <c r="C39" s="24"/>
      <c r="D39" s="24"/>
      <c r="E39" s="24"/>
      <c r="F39" s="34" t="s">
        <v>192</v>
      </c>
    </row>
    <row r="40" customFormat="false" ht="15" hidden="false" customHeight="true" outlineLevel="0" collapsed="false">
      <c r="A40" s="32" t="s">
        <v>218</v>
      </c>
      <c r="B40" s="24"/>
      <c r="C40" s="24"/>
      <c r="D40" s="24"/>
      <c r="E40" s="24"/>
      <c r="F40" s="34" t="s">
        <v>192</v>
      </c>
    </row>
    <row r="41" customFormat="false" ht="15" hidden="false" customHeight="true" outlineLevel="0" collapsed="false">
      <c r="A41" s="32" t="s">
        <v>219</v>
      </c>
      <c r="B41" s="24"/>
      <c r="C41" s="24"/>
      <c r="D41" s="24"/>
      <c r="E41" s="36" t="n">
        <v>0</v>
      </c>
      <c r="F41" s="37" t="n">
        <v>0</v>
      </c>
    </row>
    <row r="42" customFormat="false" ht="15" hidden="false" customHeight="true" outlineLevel="0" collapsed="false">
      <c r="A42" s="32" t="s">
        <v>220</v>
      </c>
      <c r="B42" s="24"/>
      <c r="C42" s="24"/>
      <c r="D42" s="24"/>
      <c r="E42" s="24"/>
      <c r="F42" s="34" t="s">
        <v>192</v>
      </c>
    </row>
    <row r="43" customFormat="false" ht="15" hidden="false" customHeight="true" outlineLevel="0" collapsed="false">
      <c r="A43" s="32" t="s">
        <v>221</v>
      </c>
      <c r="B43" s="24"/>
      <c r="C43" s="24"/>
      <c r="D43" s="24"/>
      <c r="E43" s="24"/>
      <c r="F43" s="34" t="s">
        <v>192</v>
      </c>
    </row>
    <row r="44" customFormat="false" ht="15" hidden="false" customHeight="true" outlineLevel="0" collapsed="false">
      <c r="A44" s="32" t="s">
        <v>222</v>
      </c>
      <c r="B44" s="24"/>
      <c r="C44" s="24"/>
      <c r="D44" s="24"/>
      <c r="E44" s="33" t="n">
        <v>45284</v>
      </c>
      <c r="F44" s="35" t="n">
        <v>48729</v>
      </c>
    </row>
    <row r="45" customFormat="false" ht="15" hidden="false" customHeight="true" outlineLevel="0" collapsed="false">
      <c r="A45" s="32" t="s">
        <v>223</v>
      </c>
      <c r="B45" s="24"/>
      <c r="C45" s="24"/>
      <c r="D45" s="24"/>
      <c r="E45" s="24"/>
      <c r="F45" s="34" t="s">
        <v>192</v>
      </c>
    </row>
    <row r="46" customFormat="false" ht="15" hidden="false" customHeight="true" outlineLevel="0" collapsed="false">
      <c r="A46" s="32" t="s">
        <v>224</v>
      </c>
      <c r="B46" s="24"/>
      <c r="C46" s="24"/>
      <c r="D46" s="24"/>
      <c r="E46" s="33" t="n">
        <v>16714</v>
      </c>
      <c r="F46" s="35" t="n">
        <v>18225</v>
      </c>
    </row>
    <row r="47" customFormat="false" ht="15" hidden="false" customHeight="true" outlineLevel="0" collapsed="false">
      <c r="A47" s="32" t="s">
        <v>225</v>
      </c>
      <c r="B47" s="24"/>
      <c r="C47" s="24"/>
      <c r="D47" s="24"/>
      <c r="E47" s="24"/>
      <c r="F47" s="34" t="s">
        <v>192</v>
      </c>
    </row>
    <row r="48" customFormat="false" ht="15" hidden="false" customHeight="true" outlineLevel="0" collapsed="false">
      <c r="A48" s="32" t="s">
        <v>226</v>
      </c>
      <c r="B48" s="24"/>
      <c r="C48" s="24"/>
      <c r="D48" s="24"/>
      <c r="E48" s="24"/>
      <c r="F48" s="34" t="s">
        <v>192</v>
      </c>
    </row>
    <row r="49" customFormat="false" ht="15" hidden="false" customHeight="true" outlineLevel="0" collapsed="false">
      <c r="A49" s="32" t="s">
        <v>227</v>
      </c>
      <c r="B49" s="24"/>
      <c r="C49" s="24"/>
      <c r="D49" s="24"/>
      <c r="E49" s="24"/>
      <c r="F49" s="34" t="s">
        <v>192</v>
      </c>
    </row>
    <row r="50" customFormat="false" ht="15" hidden="false" customHeight="true" outlineLevel="0" collapsed="false">
      <c r="A50" s="32" t="s">
        <v>228</v>
      </c>
      <c r="B50" s="24"/>
      <c r="C50" s="24"/>
      <c r="D50" s="24"/>
      <c r="E50" s="33" t="n">
        <v>22108</v>
      </c>
      <c r="F50" s="35" t="n">
        <v>23739</v>
      </c>
    </row>
    <row r="51" customFormat="false" ht="15" hidden="false" customHeight="true" outlineLevel="0" collapsed="false">
      <c r="A51" s="32" t="s">
        <v>229</v>
      </c>
      <c r="B51" s="24"/>
      <c r="C51" s="24"/>
      <c r="D51" s="24"/>
      <c r="E51" s="33" t="n">
        <v>755</v>
      </c>
      <c r="F51" s="35" t="n">
        <v>755</v>
      </c>
    </row>
    <row r="52" customFormat="false" ht="15" hidden="false" customHeight="true" outlineLevel="0" collapsed="false">
      <c r="A52" s="32" t="s">
        <v>230</v>
      </c>
      <c r="B52" s="24"/>
      <c r="C52" s="24"/>
      <c r="D52" s="24"/>
      <c r="E52" s="24"/>
      <c r="F52" s="34" t="s">
        <v>192</v>
      </c>
    </row>
    <row r="53" customFormat="false" ht="15" hidden="false" customHeight="true" outlineLevel="0" collapsed="false">
      <c r="A53" s="32" t="s">
        <v>231</v>
      </c>
      <c r="B53" s="24"/>
      <c r="C53" s="24"/>
      <c r="D53" s="24"/>
      <c r="E53" s="24"/>
      <c r="F53" s="34" t="s">
        <v>192</v>
      </c>
    </row>
    <row r="54" customFormat="false" ht="15" hidden="false" customHeight="true" outlineLevel="0" collapsed="false">
      <c r="A54" s="32" t="s">
        <v>232</v>
      </c>
      <c r="B54" s="24"/>
      <c r="C54" s="24"/>
      <c r="D54" s="24"/>
      <c r="E54" s="24" t="n">
        <f aca="false">E44-E50</f>
        <v>23176</v>
      </c>
      <c r="F54" s="24" t="n">
        <f aca="false">F44-F50</f>
        <v>24990</v>
      </c>
    </row>
    <row r="55" customFormat="false" ht="15" hidden="false" customHeight="true" outlineLevel="0" collapsed="false">
      <c r="A55" s="32" t="s">
        <v>233</v>
      </c>
      <c r="B55" s="24"/>
      <c r="C55" s="24"/>
      <c r="D55" s="24"/>
      <c r="E55" s="38" t="n">
        <f aca="false">E50+E54</f>
        <v>45284</v>
      </c>
      <c r="F55" s="38" t="n">
        <f aca="false">F50+F54</f>
        <v>48729</v>
      </c>
    </row>
    <row r="56" customFormat="false" ht="15" hidden="false" customHeight="true" outlineLevel="0" collapsed="false">
      <c r="A56" s="32" t="s">
        <v>234</v>
      </c>
      <c r="B56" s="24"/>
      <c r="C56" s="24"/>
      <c r="D56" s="24"/>
      <c r="E56" s="38" t="n">
        <f aca="false">E44-E55</f>
        <v>0</v>
      </c>
      <c r="F56" s="38" t="n">
        <f aca="false">F44-F55</f>
        <v>0</v>
      </c>
    </row>
    <row r="60" customFormat="false" ht="15" hidden="false" customHeight="true" outlineLevel="0" collapsed="false">
      <c r="A60" s="19" t="s">
        <v>235</v>
      </c>
      <c r="B60" s="20"/>
      <c r="C60" s="20"/>
      <c r="D60" s="20"/>
      <c r="E60" s="20"/>
      <c r="F60" s="20"/>
      <c r="G60" s="20"/>
    </row>
    <row r="62" customFormat="false" ht="15" hidden="false" customHeight="true" outlineLevel="0" collapsed="false">
      <c r="A62" s="32" t="s">
        <v>208</v>
      </c>
      <c r="B62" s="24"/>
      <c r="C62" s="24"/>
      <c r="D62" s="24"/>
      <c r="E62" s="24"/>
      <c r="F62" s="34" t="s">
        <v>192</v>
      </c>
    </row>
    <row r="63" customFormat="false" ht="15" hidden="false" customHeight="true" outlineLevel="0" collapsed="false">
      <c r="A63" s="21" t="s">
        <v>236</v>
      </c>
      <c r="B63" s="24"/>
      <c r="C63" s="24"/>
      <c r="D63" s="24"/>
      <c r="E63" s="24"/>
      <c r="F63" s="34" t="s">
        <v>192</v>
      </c>
    </row>
    <row r="64" customFormat="false" ht="15" hidden="false" customHeight="true" outlineLevel="0" collapsed="false">
      <c r="A64" s="21" t="s">
        <v>237</v>
      </c>
      <c r="B64" s="24"/>
      <c r="C64" s="24"/>
      <c r="D64" s="24"/>
      <c r="E64" s="24"/>
      <c r="F64" s="34" t="s">
        <v>192</v>
      </c>
    </row>
    <row r="65" customFormat="false" ht="15" hidden="false" customHeight="true" outlineLevel="0" collapsed="false">
      <c r="A65" s="21" t="s">
        <v>238</v>
      </c>
      <c r="B65" s="24"/>
      <c r="C65" s="24"/>
      <c r="D65" s="24"/>
      <c r="E65" s="24"/>
      <c r="F65" s="34" t="s">
        <v>192</v>
      </c>
    </row>
    <row r="66" customFormat="false" ht="15" hidden="false" customHeight="true" outlineLevel="0" collapsed="false">
      <c r="A66" s="21" t="s">
        <v>239</v>
      </c>
      <c r="B66" s="24"/>
      <c r="C66" s="24"/>
      <c r="D66" s="24"/>
      <c r="E66" s="24"/>
      <c r="F66" s="34" t="s">
        <v>192</v>
      </c>
    </row>
    <row r="67" customFormat="false" ht="15" hidden="false" customHeight="true" outlineLevel="0" collapsed="false">
      <c r="A67" s="21" t="s">
        <v>240</v>
      </c>
      <c r="B67" s="24"/>
      <c r="C67" s="24"/>
      <c r="D67" s="24"/>
      <c r="E67" s="24"/>
      <c r="F67" s="34" t="s">
        <v>192</v>
      </c>
    </row>
    <row r="68" customFormat="false" ht="15" hidden="false" customHeight="true" outlineLevel="0" collapsed="false">
      <c r="A68" s="32" t="s">
        <v>241</v>
      </c>
      <c r="B68" s="24"/>
      <c r="C68" s="24"/>
      <c r="D68" s="24"/>
      <c r="E68" s="24"/>
      <c r="F68" s="34" t="s">
        <v>192</v>
      </c>
    </row>
    <row r="69" customFormat="false" ht="15" hidden="false" customHeight="true" outlineLevel="0" collapsed="false">
      <c r="A69" s="32" t="s">
        <v>242</v>
      </c>
      <c r="B69" s="24"/>
      <c r="C69" s="24"/>
      <c r="D69" s="24"/>
      <c r="E69" s="24"/>
      <c r="F69" s="34" t="s">
        <v>192</v>
      </c>
    </row>
    <row r="70" customFormat="false" ht="15" hidden="false" customHeight="true" outlineLevel="0" collapsed="false">
      <c r="A70" s="32" t="s">
        <v>243</v>
      </c>
      <c r="B70" s="24"/>
      <c r="C70" s="24"/>
      <c r="D70" s="24"/>
      <c r="E70" s="24"/>
      <c r="F70" s="34" t="s">
        <v>192</v>
      </c>
    </row>
    <row r="71" customFormat="false" ht="15" hidden="false" customHeight="true" outlineLevel="0" collapsed="false">
      <c r="A71" s="32" t="s">
        <v>244</v>
      </c>
      <c r="B71" s="24"/>
      <c r="C71" s="24"/>
      <c r="D71" s="24"/>
      <c r="E71" s="24"/>
      <c r="F71" s="34" t="s">
        <v>192</v>
      </c>
    </row>
    <row r="72" customFormat="false" ht="15" hidden="false" customHeight="true" outlineLevel="0" collapsed="false">
      <c r="A72" s="32" t="s">
        <v>245</v>
      </c>
      <c r="B72" s="24"/>
      <c r="C72" s="24"/>
      <c r="D72" s="24"/>
      <c r="E72" s="24"/>
      <c r="F72" s="34" t="s">
        <v>192</v>
      </c>
    </row>
    <row r="73" customFormat="false" ht="15" hidden="false" customHeight="true" outlineLevel="0" collapsed="false">
      <c r="A73" s="32" t="s">
        <v>246</v>
      </c>
      <c r="B73" s="24"/>
      <c r="C73" s="24"/>
      <c r="D73" s="24"/>
      <c r="E73" s="24"/>
      <c r="F73" s="34" t="s">
        <v>192</v>
      </c>
    </row>
    <row r="74" customFormat="false" ht="15" hidden="false" customHeight="true" outlineLevel="0" collapsed="false">
      <c r="A74" s="32" t="s">
        <v>247</v>
      </c>
      <c r="B74" s="24"/>
      <c r="C74" s="24"/>
      <c r="D74" s="24"/>
      <c r="E74" s="24"/>
      <c r="F74" s="34" t="s">
        <v>192</v>
      </c>
    </row>
    <row r="75" customFormat="false" ht="15" hidden="false" customHeight="true" outlineLevel="0" collapsed="false">
      <c r="A75" s="32" t="s">
        <v>248</v>
      </c>
      <c r="B75" s="24"/>
      <c r="C75" s="24"/>
      <c r="D75" s="24"/>
      <c r="E75" s="24"/>
      <c r="F75" s="34" t="s">
        <v>192</v>
      </c>
    </row>
    <row r="76" customFormat="false" ht="15" hidden="false" customHeight="true" outlineLevel="0" collapsed="false">
      <c r="A76" s="32" t="s">
        <v>249</v>
      </c>
      <c r="B76" s="24"/>
      <c r="C76" s="24"/>
      <c r="D76" s="24"/>
      <c r="E76" s="24"/>
      <c r="F76" s="34" t="s">
        <v>192</v>
      </c>
    </row>
    <row r="77" customFormat="false" ht="15" hidden="false" customHeight="true" outlineLevel="0" collapsed="false">
      <c r="A77" s="32" t="s">
        <v>250</v>
      </c>
      <c r="B77" s="24"/>
      <c r="C77" s="24"/>
      <c r="D77" s="24"/>
      <c r="E77" s="24"/>
      <c r="F77" s="34" t="s">
        <v>192</v>
      </c>
    </row>
    <row r="78" customFormat="false" ht="15" hidden="false" customHeight="true" outlineLevel="0" collapsed="false">
      <c r="A78" s="32" t="s">
        <v>251</v>
      </c>
      <c r="B78" s="24"/>
      <c r="C78" s="24"/>
      <c r="D78" s="24"/>
      <c r="E78" s="24"/>
      <c r="F78" s="34" t="s">
        <v>192</v>
      </c>
    </row>
    <row r="79" customFormat="false" ht="15" hidden="false" customHeight="true" outlineLevel="0" collapsed="false">
      <c r="A79" s="32" t="s">
        <v>252</v>
      </c>
      <c r="B79" s="24"/>
      <c r="C79" s="24"/>
      <c r="D79" s="24"/>
      <c r="E79" s="24"/>
      <c r="F79" s="34" t="s">
        <v>192</v>
      </c>
    </row>
    <row r="80" customFormat="false" ht="15" hidden="false" customHeight="true" outlineLevel="0" collapsed="false">
      <c r="A80" s="32" t="s">
        <v>253</v>
      </c>
      <c r="B80" s="24"/>
      <c r="C80" s="24"/>
      <c r="D80" s="24"/>
      <c r="E80" s="24"/>
      <c r="F80" s="34" t="s">
        <v>192</v>
      </c>
    </row>
    <row r="81" customFormat="false" ht="15" hidden="false" customHeight="true" outlineLevel="0" collapsed="false">
      <c r="A81" s="32" t="s">
        <v>254</v>
      </c>
      <c r="B81" s="24"/>
      <c r="C81" s="24"/>
      <c r="D81" s="24"/>
      <c r="E81" s="24"/>
      <c r="F81" s="3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" min="2" style="1" width="13"/>
    <col collapsed="false" customWidth="true" hidden="false" outlineLevel="0" max="12" min="12" style="1" width="28"/>
  </cols>
  <sheetData>
    <row r="1" customFormat="false" ht="21.75" hidden="false" customHeight="true" outlineLevel="0" collapsed="false">
      <c r="A1" s="14" t="s">
        <v>255</v>
      </c>
    </row>
    <row r="2" customFormat="false" ht="15.75" hidden="false" customHeight="true" outlineLevel="0" collapsed="false">
      <c r="A2" s="15" t="s">
        <v>256</v>
      </c>
    </row>
    <row r="3" customFormat="false" ht="15" hidden="false" customHeight="false" outlineLevel="0" collapsed="false">
      <c r="A3" s="39" t="s">
        <v>257</v>
      </c>
    </row>
    <row r="4" customFormat="false" ht="15" hidden="false" customHeight="true" outlineLevel="0" collapsed="false"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  <c r="I4" s="16" t="s">
        <v>127</v>
      </c>
      <c r="J4" s="16" t="s">
        <v>128</v>
      </c>
      <c r="K4" s="16" t="s">
        <v>129</v>
      </c>
    </row>
    <row r="5" customFormat="false" ht="15" hidden="false" customHeight="true" outlineLevel="0" collapsed="false">
      <c r="B5" s="18" t="s">
        <v>131</v>
      </c>
      <c r="C5" s="18" t="s">
        <v>131</v>
      </c>
      <c r="D5" s="18" t="s">
        <v>131</v>
      </c>
      <c r="E5" s="18" t="s">
        <v>131</v>
      </c>
      <c r="F5" s="18" t="s">
        <v>131</v>
      </c>
      <c r="G5" s="18" t="s">
        <v>132</v>
      </c>
      <c r="H5" s="18" t="s">
        <v>132</v>
      </c>
      <c r="I5" s="18" t="s">
        <v>132</v>
      </c>
      <c r="J5" s="18" t="s">
        <v>132</v>
      </c>
      <c r="K5" s="18" t="s">
        <v>132</v>
      </c>
    </row>
    <row r="7" customFormat="false" ht="15" hidden="false" customHeight="true" outlineLevel="0" collapsed="false">
      <c r="A7" s="19" t="s">
        <v>258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customFormat="false" ht="15" hidden="false" customHeight="true" outlineLevel="0" collapsed="false">
      <c r="A8" s="21" t="s">
        <v>144</v>
      </c>
      <c r="B8" s="24"/>
      <c r="C8" s="24"/>
      <c r="D8" s="24"/>
      <c r="E8" s="24"/>
      <c r="F8" s="37" t="n">
        <v>2900</v>
      </c>
      <c r="G8" s="40" t="n">
        <f aca="false">F8*(1+'1. Assumptions'!$G$16)</f>
        <v>2987</v>
      </c>
      <c r="H8" s="40" t="n">
        <f aca="false">G8*(1+'1. Assumptions'!$H$16)</f>
        <v>3106.48</v>
      </c>
      <c r="I8" s="40" t="n">
        <f aca="false">H8*(1+'1. Assumptions'!$I$16)</f>
        <v>3261.804</v>
      </c>
      <c r="J8" s="40" t="n">
        <f aca="false">I8*(1+'1. Assumptions'!$J$16)</f>
        <v>3408.58518</v>
      </c>
      <c r="K8" s="40" t="n">
        <f aca="false">J8*(1+'1. Assumptions'!$K$16)</f>
        <v>3544.9285872</v>
      </c>
    </row>
    <row r="9" customFormat="false" ht="15" hidden="false" customHeight="true" outlineLevel="0" collapsed="false">
      <c r="A9" s="21" t="s">
        <v>145</v>
      </c>
      <c r="B9" s="24"/>
      <c r="C9" s="24"/>
      <c r="D9" s="24"/>
      <c r="E9" s="24"/>
      <c r="F9" s="37" t="n">
        <v>1650</v>
      </c>
      <c r="G9" s="40" t="n">
        <f aca="false">F9*(1+'1. Assumptions'!$G$17)</f>
        <v>1691.25</v>
      </c>
      <c r="H9" s="40" t="n">
        <f aca="false">G9*(1+'1. Assumptions'!$H$17)</f>
        <v>1750.44375</v>
      </c>
      <c r="I9" s="40" t="n">
        <f aca="false">H9*(1+'1. Assumptions'!$I$17)</f>
        <v>1829.21371875</v>
      </c>
      <c r="J9" s="40" t="n">
        <f aca="false">I9*(1+'1. Assumptions'!$J$17)</f>
        <v>1902.3822675</v>
      </c>
      <c r="K9" s="40" t="n">
        <f aca="false">J9*(1+'1. Assumptions'!$K$17)</f>
        <v>1968.9656468625</v>
      </c>
    </row>
    <row r="10" customFormat="false" ht="15" hidden="false" customHeight="true" outlineLevel="0" collapsed="false">
      <c r="A10" s="21" t="s">
        <v>146</v>
      </c>
      <c r="B10" s="24"/>
      <c r="C10" s="24"/>
      <c r="D10" s="24"/>
      <c r="E10" s="24"/>
      <c r="F10" s="37" t="n">
        <v>950</v>
      </c>
      <c r="G10" s="40" t="n">
        <f aca="false">F10*(1+'1. Assumptions'!$G$18)</f>
        <v>988</v>
      </c>
      <c r="H10" s="40" t="n">
        <f aca="false">G10*(1+'1. Assumptions'!$H$18)</f>
        <v>1037.4</v>
      </c>
      <c r="I10" s="40" t="n">
        <f aca="false">H10*(1+'1. Assumptions'!$I$18)</f>
        <v>1099.644</v>
      </c>
      <c r="J10" s="40" t="n">
        <f aca="false">I10*(1+'1. Assumptions'!$J$18)</f>
        <v>1160.12442</v>
      </c>
      <c r="K10" s="40" t="n">
        <f aca="false">J10*(1+'1. Assumptions'!$K$18)</f>
        <v>1218.130641</v>
      </c>
    </row>
    <row r="11" customFormat="false" ht="15" hidden="false" customHeight="true" outlineLevel="0" collapsed="false">
      <c r="A11" s="21" t="s">
        <v>147</v>
      </c>
      <c r="B11" s="24"/>
      <c r="C11" s="24"/>
      <c r="D11" s="24"/>
      <c r="E11" s="24"/>
      <c r="F11" s="37" t="n">
        <v>610</v>
      </c>
      <c r="G11" s="40" t="n">
        <f aca="false">F11*(1+'1. Assumptions'!$G$19)</f>
        <v>622.2</v>
      </c>
      <c r="H11" s="40" t="n">
        <f aca="false">G11*(1+'1. Assumptions'!$H$19)</f>
        <v>637.755</v>
      </c>
      <c r="I11" s="40" t="n">
        <f aca="false">H11*(1+'1. Assumptions'!$I$19)</f>
        <v>656.88765</v>
      </c>
      <c r="J11" s="40" t="n">
        <f aca="false">I11*(1+'1. Assumptions'!$J$19)</f>
        <v>676.5942795</v>
      </c>
      <c r="K11" s="40" t="n">
        <f aca="false">J11*(1+'1. Assumptions'!$K$19)</f>
        <v>693.5091364875</v>
      </c>
    </row>
    <row r="13" customFormat="false" ht="15" hidden="false" customHeight="true" outlineLevel="0" collapsed="false">
      <c r="A13" s="32" t="s">
        <v>189</v>
      </c>
      <c r="B13" s="41" t="n">
        <f aca="false">SUM(B8:B11)</f>
        <v>0</v>
      </c>
      <c r="C13" s="41" t="n">
        <f aca="false">SUM(C8:C11)</f>
        <v>0</v>
      </c>
      <c r="D13" s="41" t="n">
        <f aca="false">SUM(D8:D11)</f>
        <v>0</v>
      </c>
      <c r="E13" s="41" t="n">
        <f aca="false">SUM(E8:E11)</f>
        <v>0</v>
      </c>
      <c r="F13" s="41" t="n">
        <f aca="false">SUM(F8:F11)</f>
        <v>6110</v>
      </c>
      <c r="G13" s="41" t="n">
        <f aca="false">SUM(G8:G11)</f>
        <v>6288.45</v>
      </c>
      <c r="H13" s="41" t="n">
        <f aca="false">SUM(H8:H11)</f>
        <v>6532.07875</v>
      </c>
      <c r="I13" s="41" t="n">
        <f aca="false">SUM(I8:I11)</f>
        <v>6847.54936875</v>
      </c>
      <c r="J13" s="41" t="n">
        <f aca="false">SUM(J8:J11)</f>
        <v>7147.686147</v>
      </c>
      <c r="K13" s="41" t="n">
        <f aca="false">SUM(K8:K11)</f>
        <v>7425.53401155</v>
      </c>
    </row>
    <row r="16" customFormat="false" ht="15" hidden="false" customHeight="true" outlineLevel="0" collapsed="false">
      <c r="A16" s="19" t="s">
        <v>259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customFormat="false" ht="15" hidden="false" customHeight="true" outlineLevel="0" collapsed="false">
      <c r="A17" s="21" t="s">
        <v>144</v>
      </c>
      <c r="B17" s="40" t="n">
        <f aca="false">B8*0.6</f>
        <v>0</v>
      </c>
      <c r="C17" s="40" t="n">
        <f aca="false">C8*0.6</f>
        <v>0</v>
      </c>
      <c r="D17" s="40" t="n">
        <f aca="false">D8*0.6</f>
        <v>0</v>
      </c>
      <c r="E17" s="40" t="n">
        <f aca="false">E8*0.6</f>
        <v>0</v>
      </c>
      <c r="F17" s="40" t="n">
        <f aca="false">F8*0.6</f>
        <v>1740</v>
      </c>
      <c r="G17" s="40" t="n">
        <f aca="false">G8*0.6</f>
        <v>1792.2</v>
      </c>
      <c r="H17" s="40" t="n">
        <f aca="false">H8*0.6</f>
        <v>1863.888</v>
      </c>
      <c r="I17" s="40" t="n">
        <f aca="false">I8*0.6</f>
        <v>1957.0824</v>
      </c>
      <c r="J17" s="40" t="n">
        <f aca="false">J8*0.6</f>
        <v>2045.151108</v>
      </c>
      <c r="K17" s="40" t="n">
        <f aca="false">K8*0.6</f>
        <v>2126.95715232</v>
      </c>
    </row>
    <row r="18" customFormat="false" ht="15" hidden="false" customHeight="true" outlineLevel="0" collapsed="false">
      <c r="A18" s="21" t="s">
        <v>145</v>
      </c>
      <c r="B18" s="40" t="n">
        <f aca="false">B9*0.6</f>
        <v>0</v>
      </c>
      <c r="C18" s="40" t="n">
        <f aca="false">C9*0.6</f>
        <v>0</v>
      </c>
      <c r="D18" s="40" t="n">
        <f aca="false">D9*0.6</f>
        <v>0</v>
      </c>
      <c r="E18" s="40" t="n">
        <f aca="false">E9*0.6</f>
        <v>0</v>
      </c>
      <c r="F18" s="40" t="n">
        <f aca="false">F9*0.6</f>
        <v>990</v>
      </c>
      <c r="G18" s="40" t="n">
        <f aca="false">G9*0.6</f>
        <v>1014.75</v>
      </c>
      <c r="H18" s="40" t="n">
        <f aca="false">H9*0.6</f>
        <v>1050.26625</v>
      </c>
      <c r="I18" s="40" t="n">
        <f aca="false">I9*0.6</f>
        <v>1097.52823125</v>
      </c>
      <c r="J18" s="40" t="n">
        <f aca="false">J9*0.6</f>
        <v>1141.4293605</v>
      </c>
      <c r="K18" s="40" t="n">
        <f aca="false">K9*0.6</f>
        <v>1181.3793881175</v>
      </c>
    </row>
    <row r="19" customFormat="false" ht="15" hidden="false" customHeight="true" outlineLevel="0" collapsed="false">
      <c r="A19" s="21" t="s">
        <v>146</v>
      </c>
      <c r="B19" s="40" t="n">
        <f aca="false">B10*0.6</f>
        <v>0</v>
      </c>
      <c r="C19" s="40" t="n">
        <f aca="false">C10*0.6</f>
        <v>0</v>
      </c>
      <c r="D19" s="40" t="n">
        <f aca="false">D10*0.6</f>
        <v>0</v>
      </c>
      <c r="E19" s="40" t="n">
        <f aca="false">E10*0.6</f>
        <v>0</v>
      </c>
      <c r="F19" s="40" t="n">
        <f aca="false">F10*0.6</f>
        <v>570</v>
      </c>
      <c r="G19" s="40" t="n">
        <f aca="false">G10*0.6</f>
        <v>592.8</v>
      </c>
      <c r="H19" s="40" t="n">
        <f aca="false">H10*0.6</f>
        <v>622.44</v>
      </c>
      <c r="I19" s="40" t="n">
        <f aca="false">I10*0.6</f>
        <v>659.7864</v>
      </c>
      <c r="J19" s="40" t="n">
        <f aca="false">J10*0.6</f>
        <v>696.074652</v>
      </c>
      <c r="K19" s="40" t="n">
        <f aca="false">K10*0.6</f>
        <v>730.8783846</v>
      </c>
    </row>
    <row r="20" customFormat="false" ht="15" hidden="false" customHeight="true" outlineLevel="0" collapsed="false">
      <c r="A20" s="21" t="s">
        <v>147</v>
      </c>
      <c r="B20" s="40" t="n">
        <f aca="false">B11*0.6</f>
        <v>0</v>
      </c>
      <c r="C20" s="40" t="n">
        <f aca="false">C11*0.6</f>
        <v>0</v>
      </c>
      <c r="D20" s="40" t="n">
        <f aca="false">D11*0.6</f>
        <v>0</v>
      </c>
      <c r="E20" s="40" t="n">
        <f aca="false">E11*0.6</f>
        <v>0</v>
      </c>
      <c r="F20" s="40" t="n">
        <f aca="false">F11*0.6</f>
        <v>366</v>
      </c>
      <c r="G20" s="40" t="n">
        <f aca="false">G11*0.6</f>
        <v>373.32</v>
      </c>
      <c r="H20" s="40" t="n">
        <f aca="false">H11*0.6</f>
        <v>382.653</v>
      </c>
      <c r="I20" s="40" t="n">
        <f aca="false">I11*0.6</f>
        <v>394.13259</v>
      </c>
      <c r="J20" s="40" t="n">
        <f aca="false">J11*0.6</f>
        <v>405.9565677</v>
      </c>
      <c r="K20" s="40" t="n">
        <f aca="false">K11*0.6</f>
        <v>416.1054818925</v>
      </c>
    </row>
    <row r="22" customFormat="false" ht="15" hidden="false" customHeight="true" outlineLevel="0" collapsed="false">
      <c r="A22" s="32" t="s">
        <v>260</v>
      </c>
      <c r="B22" s="41" t="n">
        <f aca="false">SUM(B17:B20)</f>
        <v>0</v>
      </c>
      <c r="C22" s="41" t="n">
        <f aca="false">SUM(C17:C20)</f>
        <v>0</v>
      </c>
      <c r="D22" s="41" t="n">
        <f aca="false">SUM(D17:D20)</f>
        <v>0</v>
      </c>
      <c r="E22" s="41" t="n">
        <f aca="false">SUM(E17:E20)</f>
        <v>0</v>
      </c>
      <c r="F22" s="41" t="n">
        <f aca="false">SUM(F17:F20)</f>
        <v>3666</v>
      </c>
      <c r="G22" s="41" t="n">
        <f aca="false">SUM(G17:G20)</f>
        <v>3773.07</v>
      </c>
      <c r="H22" s="41" t="n">
        <f aca="false">SUM(H17:H20)</f>
        <v>3919.24725</v>
      </c>
      <c r="I22" s="41" t="n">
        <f aca="false">SUM(I17:I20)</f>
        <v>4108.52962125</v>
      </c>
      <c r="J22" s="41" t="n">
        <f aca="false">SUM(J17:J20)</f>
        <v>4288.6116882</v>
      </c>
      <c r="K22" s="41" t="n">
        <f aca="false">SUM(K17:K20)</f>
        <v>4455.32040693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9" min="4" style="1" width="14"/>
    <col collapsed="false" customWidth="true" hidden="false" outlineLevel="0" max="10" min="10" style="1" width="32"/>
  </cols>
  <sheetData>
    <row r="1" customFormat="false" ht="21.75" hidden="false" customHeight="true" outlineLevel="0" collapsed="false">
      <c r="A1" s="14" t="s">
        <v>261</v>
      </c>
    </row>
    <row r="2" customFormat="false" ht="15.75" hidden="false" customHeight="true" outlineLevel="0" collapsed="false">
      <c r="A2" s="15" t="s">
        <v>262</v>
      </c>
    </row>
    <row r="4" customFormat="false" ht="23.25" hidden="false" customHeight="true" outlineLevel="0" collapsed="false">
      <c r="A4" s="42" t="s">
        <v>263</v>
      </c>
      <c r="B4" s="42" t="s">
        <v>264</v>
      </c>
      <c r="C4" s="42" t="s">
        <v>265</v>
      </c>
      <c r="D4" s="42" t="s">
        <v>266</v>
      </c>
      <c r="E4" s="42" t="s">
        <v>267</v>
      </c>
      <c r="F4" s="42" t="s">
        <v>268</v>
      </c>
      <c r="G4" s="42" t="s">
        <v>269</v>
      </c>
      <c r="H4" s="42" t="s">
        <v>270</v>
      </c>
      <c r="I4" s="42" t="s">
        <v>271</v>
      </c>
      <c r="J4" s="42" t="s">
        <v>272</v>
      </c>
    </row>
    <row r="6" customFormat="false" ht="15" hidden="false" customHeight="true" outlineLevel="0" collapsed="false">
      <c r="A6" s="15" t="s">
        <v>273</v>
      </c>
    </row>
    <row r="7" customFormat="false" ht="15" hidden="false" customHeight="true" outlineLevel="0" collapsed="false">
      <c r="A7" s="43" t="s">
        <v>274</v>
      </c>
      <c r="B7" s="43" t="s">
        <v>275</v>
      </c>
      <c r="C7" s="43" t="n">
        <v>48</v>
      </c>
      <c r="D7" s="43" t="s">
        <v>276</v>
      </c>
      <c r="E7" s="24" t="n">
        <v>450</v>
      </c>
      <c r="F7" s="24" t="n">
        <v>280</v>
      </c>
      <c r="G7" s="24" t="n">
        <v>170</v>
      </c>
      <c r="H7" s="22" t="n">
        <v>0.085</v>
      </c>
      <c r="I7" s="40" t="n">
        <f aca="false">E7*H7</f>
        <v>38.25</v>
      </c>
    </row>
    <row r="20" customFormat="false" ht="15" hidden="false" customHeight="true" outlineLevel="0" collapsed="false">
      <c r="A20" s="32" t="s">
        <v>277</v>
      </c>
      <c r="E20" s="41" t="n">
        <f aca="false">SUM(E7:E19)</f>
        <v>450</v>
      </c>
      <c r="F20" s="41" t="n">
        <f aca="false">SUM(F7:F19)</f>
        <v>280</v>
      </c>
      <c r="G20" s="41" t="n">
        <f aca="false">SUM(G7:G19)</f>
        <v>170</v>
      </c>
      <c r="I20" s="41" t="n">
        <f aca="false">SUM(I7:I19)</f>
        <v>38.25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1" min="2" style="1" width="13"/>
  </cols>
  <sheetData>
    <row r="1" customFormat="false" ht="21.75" hidden="false" customHeight="true" outlineLevel="0" collapsed="false">
      <c r="A1" s="14" t="s">
        <v>278</v>
      </c>
    </row>
    <row r="2" customFormat="false" ht="15.75" hidden="false" customHeight="true" outlineLevel="0" collapsed="false">
      <c r="A2" s="15" t="s">
        <v>279</v>
      </c>
    </row>
    <row r="3" customFormat="false" ht="15" hidden="false" customHeight="false" outlineLevel="0" collapsed="false">
      <c r="A3" s="44" t="s">
        <v>280</v>
      </c>
    </row>
    <row r="4" customFormat="false" ht="15" hidden="false" customHeight="true" outlineLevel="0" collapsed="false"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  <c r="I4" s="16" t="s">
        <v>127</v>
      </c>
      <c r="J4" s="16" t="s">
        <v>128</v>
      </c>
      <c r="K4" s="16" t="s">
        <v>129</v>
      </c>
    </row>
    <row r="5" customFormat="false" ht="15" hidden="false" customHeight="true" outlineLevel="0" collapsed="false">
      <c r="B5" s="18" t="s">
        <v>131</v>
      </c>
      <c r="C5" s="18" t="s">
        <v>131</v>
      </c>
      <c r="D5" s="18" t="s">
        <v>131</v>
      </c>
      <c r="E5" s="18" t="s">
        <v>131</v>
      </c>
      <c r="F5" s="18" t="s">
        <v>131</v>
      </c>
      <c r="G5" s="18" t="s">
        <v>132</v>
      </c>
      <c r="H5" s="18" t="s">
        <v>132</v>
      </c>
      <c r="I5" s="18" t="s">
        <v>132</v>
      </c>
      <c r="J5" s="18" t="s">
        <v>132</v>
      </c>
      <c r="K5" s="18" t="s">
        <v>132</v>
      </c>
    </row>
    <row r="7" customFormat="false" ht="15" hidden="false" customHeight="true" outlineLevel="0" collapsed="false">
      <c r="A7" s="32" t="s">
        <v>189</v>
      </c>
      <c r="B7" s="45"/>
      <c r="C7" s="45"/>
      <c r="D7" s="45"/>
      <c r="E7" s="45"/>
      <c r="F7" s="46" t="n">
        <f aca="false">'3. Segment Build'!F13</f>
        <v>6110</v>
      </c>
      <c r="G7" s="46" t="n">
        <f aca="false">'3. Segment Build'!G13</f>
        <v>6288.45</v>
      </c>
      <c r="H7" s="46" t="n">
        <f aca="false">'3. Segment Build'!H13</f>
        <v>6532.07875</v>
      </c>
      <c r="I7" s="46" t="n">
        <f aca="false">'3. Segment Build'!I13</f>
        <v>6847.54936875</v>
      </c>
      <c r="J7" s="46" t="n">
        <f aca="false">'3. Segment Build'!J13</f>
        <v>7147.686147</v>
      </c>
      <c r="K7" s="46" t="n">
        <f aca="false">'3. Segment Build'!K13</f>
        <v>7425.53401155</v>
      </c>
    </row>
    <row r="8" customFormat="false" ht="15" hidden="false" customHeight="true" outlineLevel="0" collapsed="false">
      <c r="A8" s="21" t="s">
        <v>195</v>
      </c>
      <c r="B8" s="45"/>
      <c r="C8" s="45"/>
      <c r="D8" s="45"/>
      <c r="E8" s="45"/>
      <c r="F8" s="45"/>
      <c r="G8" s="47" t="n">
        <f aca="false">-(G7-G10)</f>
        <v>-2515.38</v>
      </c>
      <c r="H8" s="47" t="n">
        <f aca="false">-(H7-H10)</f>
        <v>-2612.8315</v>
      </c>
      <c r="I8" s="47" t="n">
        <f aca="false">-(I7-I10)</f>
        <v>-2739.0197475</v>
      </c>
      <c r="J8" s="47" t="n">
        <f aca="false">-(J7-J10)</f>
        <v>-2859.0744588</v>
      </c>
      <c r="K8" s="47" t="n">
        <f aca="false">-(K7-K10)</f>
        <v>-2970.21360462</v>
      </c>
    </row>
    <row r="9" customFormat="false" ht="15" hidden="false" customHeight="true" outlineLevel="0" collapsed="false">
      <c r="A9" s="21" t="s">
        <v>196</v>
      </c>
      <c r="B9" s="45"/>
      <c r="C9" s="45"/>
      <c r="D9" s="45"/>
      <c r="E9" s="45"/>
      <c r="F9" s="45"/>
      <c r="G9" s="47" t="n">
        <v>0</v>
      </c>
      <c r="H9" s="47" t="n">
        <v>0</v>
      </c>
      <c r="I9" s="47" t="n">
        <v>0</v>
      </c>
      <c r="J9" s="47" t="n">
        <v>0</v>
      </c>
      <c r="K9" s="47" t="n">
        <v>0</v>
      </c>
    </row>
    <row r="10" customFormat="false" ht="15" hidden="false" customHeight="true" outlineLevel="0" collapsed="false">
      <c r="A10" s="32" t="s">
        <v>197</v>
      </c>
      <c r="B10" s="45"/>
      <c r="C10" s="45"/>
      <c r="D10" s="45"/>
      <c r="E10" s="45"/>
      <c r="F10" s="46" t="n">
        <f aca="false">'3. Segment Build'!F22</f>
        <v>3666</v>
      </c>
      <c r="G10" s="46" t="n">
        <f aca="false">'3. Segment Build'!G22</f>
        <v>3773.07</v>
      </c>
      <c r="H10" s="46" t="n">
        <f aca="false">'3. Segment Build'!H22</f>
        <v>3919.24725</v>
      </c>
      <c r="I10" s="46" t="n">
        <f aca="false">'3. Segment Build'!I22</f>
        <v>4108.52962125</v>
      </c>
      <c r="J10" s="46" t="n">
        <f aca="false">'3. Segment Build'!J22</f>
        <v>4288.6116882</v>
      </c>
      <c r="K10" s="46" t="n">
        <f aca="false">'3. Segment Build'!K22</f>
        <v>4455.32040693</v>
      </c>
    </row>
    <row r="11" customFormat="false" ht="15" hidden="false" customHeight="true" outlineLevel="0" collapsed="false">
      <c r="A11" s="21" t="s">
        <v>281</v>
      </c>
      <c r="B11" s="45"/>
      <c r="C11" s="45"/>
      <c r="D11" s="45"/>
      <c r="E11" s="45"/>
      <c r="F11" s="34" t="s">
        <v>282</v>
      </c>
      <c r="G11" s="34" t="s">
        <v>283</v>
      </c>
      <c r="H11" s="34" t="s">
        <v>283</v>
      </c>
      <c r="I11" s="34" t="s">
        <v>283</v>
      </c>
      <c r="J11" s="34" t="s">
        <v>283</v>
      </c>
      <c r="K11" s="34" t="s">
        <v>283</v>
      </c>
    </row>
    <row r="12" customFormat="false" ht="15" hidden="false" customHeight="true" outlineLevel="0" collapsed="false">
      <c r="A12" s="21" t="s">
        <v>284</v>
      </c>
      <c r="B12" s="45"/>
      <c r="C12" s="45"/>
      <c r="D12" s="45"/>
      <c r="E12" s="45"/>
      <c r="F12" s="34" t="s">
        <v>282</v>
      </c>
      <c r="G12" s="34" t="s">
        <v>283</v>
      </c>
      <c r="H12" s="34" t="s">
        <v>283</v>
      </c>
      <c r="I12" s="34" t="s">
        <v>283</v>
      </c>
      <c r="J12" s="34" t="s">
        <v>283</v>
      </c>
      <c r="K12" s="34" t="s">
        <v>283</v>
      </c>
    </row>
    <row r="13" customFormat="false" ht="15" hidden="false" customHeight="true" outlineLevel="0" collapsed="false">
      <c r="A13" s="21" t="s">
        <v>285</v>
      </c>
      <c r="B13" s="45"/>
      <c r="C13" s="45"/>
      <c r="D13" s="45"/>
      <c r="E13" s="45"/>
      <c r="F13" s="34" t="s">
        <v>282</v>
      </c>
      <c r="G13" s="34" t="s">
        <v>283</v>
      </c>
      <c r="H13" s="34" t="s">
        <v>283</v>
      </c>
      <c r="I13" s="34" t="s">
        <v>283</v>
      </c>
      <c r="J13" s="34" t="s">
        <v>283</v>
      </c>
      <c r="K13" s="34" t="s">
        <v>283</v>
      </c>
    </row>
    <row r="14" customFormat="false" ht="15" hidden="false" customHeight="true" outlineLevel="0" collapsed="false">
      <c r="A14" s="32" t="s">
        <v>201</v>
      </c>
      <c r="B14" s="45"/>
      <c r="C14" s="45"/>
      <c r="D14" s="45"/>
      <c r="E14" s="45"/>
      <c r="F14" s="34" t="s">
        <v>282</v>
      </c>
      <c r="G14" s="34" t="s">
        <v>283</v>
      </c>
      <c r="H14" s="34" t="s">
        <v>283</v>
      </c>
      <c r="I14" s="34" t="s">
        <v>283</v>
      </c>
      <c r="J14" s="34" t="s">
        <v>283</v>
      </c>
      <c r="K14" s="34" t="s">
        <v>283</v>
      </c>
    </row>
    <row r="15" customFormat="false" ht="15" hidden="false" customHeight="true" outlineLevel="0" collapsed="false">
      <c r="A15" s="21" t="s">
        <v>202</v>
      </c>
      <c r="B15" s="45"/>
      <c r="C15" s="45"/>
      <c r="D15" s="45"/>
      <c r="E15" s="45"/>
      <c r="F15" s="34" t="s">
        <v>282</v>
      </c>
      <c r="G15" s="34" t="s">
        <v>283</v>
      </c>
      <c r="H15" s="34" t="s">
        <v>283</v>
      </c>
      <c r="I15" s="34" t="s">
        <v>283</v>
      </c>
      <c r="J15" s="34" t="s">
        <v>283</v>
      </c>
      <c r="K15" s="34" t="s">
        <v>283</v>
      </c>
    </row>
    <row r="16" customFormat="false" ht="15" hidden="false" customHeight="true" outlineLevel="0" collapsed="false">
      <c r="A16" s="21" t="s">
        <v>203</v>
      </c>
      <c r="B16" s="45"/>
      <c r="C16" s="45"/>
      <c r="D16" s="45"/>
      <c r="E16" s="45"/>
      <c r="F16" s="34" t="s">
        <v>282</v>
      </c>
      <c r="G16" s="34" t="s">
        <v>283</v>
      </c>
      <c r="H16" s="34" t="s">
        <v>283</v>
      </c>
      <c r="I16" s="34" t="s">
        <v>283</v>
      </c>
      <c r="J16" s="34" t="s">
        <v>283</v>
      </c>
      <c r="K16" s="34" t="s">
        <v>283</v>
      </c>
    </row>
    <row r="17" customFormat="false" ht="15" hidden="false" customHeight="true" outlineLevel="0" collapsed="false">
      <c r="A17" s="32" t="s">
        <v>204</v>
      </c>
      <c r="B17" s="45"/>
      <c r="C17" s="45"/>
      <c r="D17" s="45"/>
      <c r="E17" s="45"/>
      <c r="F17" s="34" t="s">
        <v>282</v>
      </c>
      <c r="G17" s="34" t="s">
        <v>283</v>
      </c>
      <c r="H17" s="34" t="s">
        <v>283</v>
      </c>
      <c r="I17" s="34" t="s">
        <v>283</v>
      </c>
      <c r="J17" s="34" t="s">
        <v>283</v>
      </c>
      <c r="K17" s="34" t="s">
        <v>283</v>
      </c>
    </row>
    <row r="18" customFormat="false" ht="15" hidden="false" customHeight="true" outlineLevel="0" collapsed="false">
      <c r="A18" s="21" t="s">
        <v>205</v>
      </c>
      <c r="B18" s="45"/>
      <c r="C18" s="45"/>
      <c r="D18" s="45"/>
      <c r="E18" s="45"/>
      <c r="F18" s="34" t="s">
        <v>282</v>
      </c>
      <c r="G18" s="34" t="s">
        <v>283</v>
      </c>
      <c r="H18" s="34" t="s">
        <v>283</v>
      </c>
      <c r="I18" s="34" t="s">
        <v>283</v>
      </c>
      <c r="J18" s="34" t="s">
        <v>283</v>
      </c>
      <c r="K18" s="34" t="s">
        <v>283</v>
      </c>
    </row>
    <row r="19" customFormat="false" ht="15" hidden="false" customHeight="true" outlineLevel="0" collapsed="false">
      <c r="A19" s="21" t="s">
        <v>286</v>
      </c>
      <c r="B19" s="45"/>
      <c r="C19" s="45"/>
      <c r="D19" s="45"/>
      <c r="E19" s="45"/>
      <c r="F19" s="34" t="s">
        <v>282</v>
      </c>
      <c r="G19" s="34" t="s">
        <v>283</v>
      </c>
      <c r="H19" s="34" t="s">
        <v>283</v>
      </c>
      <c r="I19" s="34" t="s">
        <v>283</v>
      </c>
      <c r="J19" s="34" t="s">
        <v>283</v>
      </c>
      <c r="K19" s="34" t="s">
        <v>283</v>
      </c>
    </row>
    <row r="20" customFormat="false" ht="15" hidden="false" customHeight="true" outlineLevel="0" collapsed="false">
      <c r="A20" s="21" t="s">
        <v>207</v>
      </c>
      <c r="B20" s="45"/>
      <c r="C20" s="45"/>
      <c r="D20" s="45"/>
      <c r="E20" s="45"/>
      <c r="F20" s="34" t="s">
        <v>282</v>
      </c>
      <c r="G20" s="34" t="s">
        <v>283</v>
      </c>
      <c r="H20" s="34" t="s">
        <v>283</v>
      </c>
      <c r="I20" s="34" t="s">
        <v>283</v>
      </c>
      <c r="J20" s="34" t="s">
        <v>283</v>
      </c>
      <c r="K20" s="34" t="s">
        <v>283</v>
      </c>
    </row>
    <row r="21" customFormat="false" ht="15" hidden="false" customHeight="true" outlineLevel="0" collapsed="false">
      <c r="A21" s="32" t="s">
        <v>208</v>
      </c>
      <c r="B21" s="45"/>
      <c r="C21" s="45"/>
      <c r="D21" s="45"/>
      <c r="E21" s="45"/>
      <c r="F21" s="34" t="s">
        <v>282</v>
      </c>
      <c r="G21" s="34" t="s">
        <v>283</v>
      </c>
      <c r="H21" s="34" t="s">
        <v>283</v>
      </c>
      <c r="I21" s="34" t="s">
        <v>283</v>
      </c>
      <c r="J21" s="34" t="s">
        <v>283</v>
      </c>
      <c r="K21" s="34" t="s">
        <v>283</v>
      </c>
    </row>
    <row r="22" customFormat="false" ht="15" hidden="false" customHeight="true" outlineLevel="0" collapsed="false">
      <c r="A22" s="21" t="s">
        <v>209</v>
      </c>
      <c r="B22" s="45"/>
      <c r="C22" s="45"/>
      <c r="D22" s="45"/>
      <c r="E22" s="45"/>
      <c r="F22" s="34" t="s">
        <v>282</v>
      </c>
      <c r="G22" s="34" t="s">
        <v>283</v>
      </c>
      <c r="H22" s="34" t="s">
        <v>283</v>
      </c>
      <c r="I22" s="34" t="s">
        <v>283</v>
      </c>
      <c r="J22" s="34" t="s">
        <v>283</v>
      </c>
      <c r="K22" s="34" t="s">
        <v>283</v>
      </c>
    </row>
    <row r="23" customFormat="false" ht="15" hidden="false" customHeight="true" outlineLevel="0" collapsed="false">
      <c r="A23" s="32" t="s">
        <v>287</v>
      </c>
      <c r="B23" s="45"/>
      <c r="C23" s="45"/>
      <c r="D23" s="45"/>
      <c r="E23" s="45"/>
      <c r="F23" s="34" t="s">
        <v>282</v>
      </c>
      <c r="G23" s="34" t="s">
        <v>283</v>
      </c>
      <c r="H23" s="34" t="s">
        <v>283</v>
      </c>
      <c r="I23" s="34" t="s">
        <v>283</v>
      </c>
      <c r="J23" s="34" t="s">
        <v>283</v>
      </c>
      <c r="K23" s="34" t="s">
        <v>283</v>
      </c>
    </row>
    <row r="24" customFormat="false" ht="15" hidden="false" customHeight="true" outlineLevel="0" collapsed="false">
      <c r="A24" s="21" t="s">
        <v>211</v>
      </c>
      <c r="B24" s="45"/>
      <c r="C24" s="45"/>
      <c r="D24" s="45"/>
      <c r="E24" s="45"/>
      <c r="F24" s="48" t="n">
        <f aca="false">'2. Historicals'!F29</f>
        <v>346</v>
      </c>
      <c r="G24" s="48" t="n">
        <f aca="false">'2. Historicals'!$F$29</f>
        <v>346</v>
      </c>
      <c r="H24" s="48" t="n">
        <f aca="false">'2. Historicals'!$F$29</f>
        <v>346</v>
      </c>
      <c r="I24" s="48" t="n">
        <f aca="false">'2. Historicals'!$F$29</f>
        <v>346</v>
      </c>
      <c r="J24" s="48" t="n">
        <f aca="false">'2. Historicals'!$F$29</f>
        <v>346</v>
      </c>
      <c r="K24" s="48" t="n">
        <f aca="false">'2. Historicals'!$F$29</f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1" min="2" style="1" width="13"/>
  </cols>
  <sheetData>
    <row r="1" customFormat="false" ht="21.75" hidden="false" customHeight="true" outlineLevel="0" collapsed="false">
      <c r="A1" s="14" t="s">
        <v>288</v>
      </c>
    </row>
    <row r="2" customFormat="false" ht="15.75" hidden="false" customHeight="true" outlineLevel="0" collapsed="false">
      <c r="A2" s="15" t="s">
        <v>289</v>
      </c>
    </row>
    <row r="4" customFormat="false" ht="15" hidden="false" customHeight="true" outlineLevel="0" collapsed="false"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  <c r="I4" s="16" t="s">
        <v>127</v>
      </c>
      <c r="J4" s="16" t="s">
        <v>128</v>
      </c>
      <c r="K4" s="16" t="s">
        <v>129</v>
      </c>
    </row>
    <row r="5" customFormat="false" ht="15" hidden="false" customHeight="true" outlineLevel="0" collapsed="false">
      <c r="B5" s="18" t="s">
        <v>131</v>
      </c>
      <c r="C5" s="18" t="s">
        <v>131</v>
      </c>
      <c r="D5" s="18" t="s">
        <v>131</v>
      </c>
      <c r="E5" s="18" t="s">
        <v>131</v>
      </c>
      <c r="F5" s="18" t="s">
        <v>131</v>
      </c>
      <c r="G5" s="18" t="s">
        <v>132</v>
      </c>
      <c r="H5" s="18" t="s">
        <v>132</v>
      </c>
      <c r="I5" s="18" t="s">
        <v>132</v>
      </c>
      <c r="J5" s="18" t="s">
        <v>132</v>
      </c>
      <c r="K5" s="18" t="s">
        <v>132</v>
      </c>
    </row>
    <row r="7" customFormat="false" ht="15" hidden="false" customHeight="true" outlineLevel="0" collapsed="false">
      <c r="A7" s="19" t="s">
        <v>290</v>
      </c>
      <c r="B7" s="20"/>
      <c r="C7" s="20"/>
      <c r="D7" s="20"/>
      <c r="E7" s="20"/>
      <c r="F7" s="20"/>
      <c r="G7" s="20"/>
      <c r="H7" s="20"/>
      <c r="I7" s="20"/>
      <c r="J7" s="20"/>
      <c r="K7" s="20"/>
    </row>
    <row r="8" customFormat="false" ht="15" hidden="false" customHeight="true" outlineLevel="0" collapsed="false">
      <c r="A8" s="21" t="s">
        <v>291</v>
      </c>
      <c r="B8" s="45"/>
      <c r="C8" s="45"/>
      <c r="D8" s="45"/>
      <c r="E8" s="45"/>
      <c r="F8" s="45"/>
      <c r="G8" s="45"/>
      <c r="H8" s="45"/>
      <c r="I8" s="45"/>
      <c r="J8" s="45"/>
      <c r="K8" s="45"/>
    </row>
    <row r="9" customFormat="false" ht="15" hidden="false" customHeight="true" outlineLevel="0" collapsed="false">
      <c r="A9" s="21" t="s">
        <v>216</v>
      </c>
      <c r="B9" s="45"/>
      <c r="C9" s="45"/>
      <c r="D9" s="45"/>
      <c r="E9" s="45"/>
      <c r="F9" s="45"/>
      <c r="G9" s="45"/>
      <c r="H9" s="45"/>
      <c r="I9" s="45"/>
      <c r="J9" s="45"/>
      <c r="K9" s="45"/>
    </row>
    <row r="10" customFormat="false" ht="15" hidden="false" customHeight="true" outlineLevel="0" collapsed="false">
      <c r="A10" s="21" t="s">
        <v>292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</row>
    <row r="11" customFormat="false" ht="15" hidden="false" customHeight="true" outlineLevel="0" collapsed="false">
      <c r="A11" s="21" t="s">
        <v>218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customFormat="false" ht="15" hidden="false" customHeight="true" outlineLevel="0" collapsed="false">
      <c r="A12" s="21" t="s">
        <v>219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</row>
    <row r="13" customFormat="false" ht="15" hidden="false" customHeight="true" outlineLevel="0" collapsed="false">
      <c r="A13" s="21" t="s">
        <v>220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customFormat="false" ht="15" hidden="false" customHeight="true" outlineLevel="0" collapsed="false">
      <c r="A14" s="21" t="s">
        <v>221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</row>
    <row r="15" customFormat="false" ht="15" hidden="false" customHeight="true" outlineLevel="0" collapsed="false">
      <c r="A15" s="32" t="s">
        <v>293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</row>
    <row r="17" customFormat="false" ht="15" hidden="false" customHeight="true" outlineLevel="0" collapsed="false">
      <c r="A17" s="19" t="s">
        <v>294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customFormat="false" ht="15" hidden="false" customHeight="true" outlineLevel="0" collapsed="false">
      <c r="A18" s="21" t="s">
        <v>295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 customFormat="false" ht="15" hidden="false" customHeight="true" outlineLevel="0" collapsed="false">
      <c r="A19" s="21" t="s">
        <v>224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 customFormat="false" ht="15" hidden="false" customHeight="true" outlineLevel="0" collapsed="false">
      <c r="A20" s="21" t="s">
        <v>225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</row>
    <row r="21" customFormat="false" ht="15" hidden="false" customHeight="true" outlineLevel="0" collapsed="false">
      <c r="A21" s="32" t="s">
        <v>296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</row>
    <row r="22" customFormat="false" ht="15" hidden="false" customHeight="true" outlineLevel="0" collapsed="false">
      <c r="A22" s="21" t="s">
        <v>226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customFormat="false" ht="15" hidden="false" customHeight="true" outlineLevel="0" collapsed="false">
      <c r="A23" s="21" t="s">
        <v>227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customFormat="false" ht="15" hidden="false" customHeight="true" outlineLevel="0" collapsed="false">
      <c r="A24" s="32" t="s">
        <v>297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</row>
    <row r="26" customFormat="false" ht="15" hidden="false" customHeight="true" outlineLevel="0" collapsed="false">
      <c r="A26" s="19" t="s">
        <v>298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customFormat="false" ht="15" hidden="false" customHeight="true" outlineLevel="0" collapsed="false">
      <c r="A27" s="21" t="s">
        <v>229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 customFormat="false" ht="15" hidden="false" customHeight="true" outlineLevel="0" collapsed="false">
      <c r="A28" s="21" t="s">
        <v>299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</row>
    <row r="29" customFormat="false" ht="15" hidden="false" customHeight="true" outlineLevel="0" collapsed="false">
      <c r="A29" s="21" t="s">
        <v>300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</row>
    <row r="30" customFormat="false" ht="15" hidden="false" customHeight="true" outlineLevel="0" collapsed="false">
      <c r="A30" s="21" t="s">
        <v>301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</row>
    <row r="31" customFormat="false" ht="15" hidden="false" customHeight="true" outlineLevel="0" collapsed="false">
      <c r="A31" s="32" t="s">
        <v>302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</row>
    <row r="32" customFormat="false" ht="15" hidden="false" customHeight="true" outlineLevel="0" collapsed="false">
      <c r="A32" s="21" t="s">
        <v>231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customFormat="false" ht="15" hidden="false" customHeight="true" outlineLevel="0" collapsed="false">
      <c r="A33" s="32" t="s">
        <v>303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</row>
    <row r="35" customFormat="false" ht="15" hidden="false" customHeight="true" outlineLevel="0" collapsed="false">
      <c r="A35" s="32" t="s">
        <v>304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</row>
    <row r="36" customFormat="false" ht="15" hidden="false" customHeight="true" outlineLevel="0" collapsed="false">
      <c r="A36" s="32" t="s">
        <v>305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1" min="2" style="1" width="13"/>
  </cols>
  <sheetData>
    <row r="1" customFormat="false" ht="21.75" hidden="false" customHeight="true" outlineLevel="0" collapsed="false">
      <c r="A1" s="14" t="s">
        <v>306</v>
      </c>
    </row>
    <row r="2" customFormat="false" ht="15.75" hidden="false" customHeight="true" outlineLevel="0" collapsed="false">
      <c r="A2" s="15" t="s">
        <v>307</v>
      </c>
    </row>
    <row r="4" customFormat="false" ht="15" hidden="false" customHeight="true" outlineLevel="0" collapsed="false"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  <c r="I4" s="16" t="s">
        <v>127</v>
      </c>
      <c r="J4" s="16" t="s">
        <v>128</v>
      </c>
      <c r="K4" s="16" t="s">
        <v>129</v>
      </c>
    </row>
    <row r="5" customFormat="false" ht="15" hidden="false" customHeight="true" outlineLevel="0" collapsed="false">
      <c r="B5" s="18" t="s">
        <v>131</v>
      </c>
      <c r="C5" s="18" t="s">
        <v>131</v>
      </c>
      <c r="D5" s="18" t="s">
        <v>131</v>
      </c>
      <c r="E5" s="18" t="s">
        <v>131</v>
      </c>
      <c r="F5" s="18" t="s">
        <v>131</v>
      </c>
      <c r="G5" s="18" t="s">
        <v>132</v>
      </c>
      <c r="H5" s="18" t="s">
        <v>132</v>
      </c>
      <c r="I5" s="18" t="s">
        <v>132</v>
      </c>
      <c r="J5" s="18" t="s">
        <v>132</v>
      </c>
      <c r="K5" s="18" t="s">
        <v>132</v>
      </c>
    </row>
    <row r="7" customFormat="false" ht="15" hidden="false" customHeight="true" outlineLevel="0" collapsed="false">
      <c r="A7" s="19" t="s">
        <v>308</v>
      </c>
      <c r="B7" s="20"/>
      <c r="C7" s="20"/>
      <c r="D7" s="20"/>
      <c r="E7" s="20"/>
      <c r="F7" s="20"/>
      <c r="G7" s="20"/>
      <c r="H7" s="20"/>
      <c r="I7" s="20"/>
      <c r="J7" s="20"/>
      <c r="K7" s="20"/>
    </row>
    <row r="8" customFormat="false" ht="15" hidden="false" customHeight="true" outlineLevel="0" collapsed="false">
      <c r="A8" s="21" t="s">
        <v>208</v>
      </c>
      <c r="B8" s="45"/>
      <c r="C8" s="45"/>
      <c r="D8" s="45"/>
      <c r="E8" s="45"/>
      <c r="F8" s="45"/>
      <c r="G8" s="45"/>
      <c r="H8" s="45"/>
      <c r="I8" s="45"/>
      <c r="J8" s="45"/>
      <c r="K8" s="45"/>
    </row>
    <row r="9" customFormat="false" ht="15" hidden="false" customHeight="true" outlineLevel="0" collapsed="false">
      <c r="A9" s="21" t="s">
        <v>309</v>
      </c>
      <c r="B9" s="45"/>
      <c r="C9" s="45"/>
      <c r="D9" s="45"/>
      <c r="E9" s="45"/>
      <c r="F9" s="45"/>
      <c r="G9" s="45"/>
      <c r="H9" s="45"/>
      <c r="I9" s="45"/>
      <c r="J9" s="45"/>
      <c r="K9" s="45"/>
    </row>
    <row r="10" customFormat="false" ht="15" hidden="false" customHeight="true" outlineLevel="0" collapsed="false">
      <c r="A10" s="21" t="s">
        <v>237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</row>
    <row r="11" customFormat="false" ht="15" hidden="false" customHeight="true" outlineLevel="0" collapsed="false">
      <c r="A11" s="21" t="s">
        <v>238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customFormat="false" ht="15" hidden="false" customHeight="true" outlineLevel="0" collapsed="false">
      <c r="A12" s="21" t="s">
        <v>239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</row>
    <row r="13" customFormat="false" ht="15" hidden="false" customHeight="true" outlineLevel="0" collapsed="false">
      <c r="A13" s="21" t="s">
        <v>310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customFormat="false" ht="15" hidden="false" customHeight="true" outlineLevel="0" collapsed="false">
      <c r="A14" s="32" t="s">
        <v>311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</row>
    <row r="16" customFormat="false" ht="15" hidden="false" customHeight="true" outlineLevel="0" collapsed="false">
      <c r="A16" s="19" t="s">
        <v>312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customFormat="false" ht="15" hidden="false" customHeight="true" outlineLevel="0" collapsed="false">
      <c r="A17" s="21" t="s">
        <v>242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</row>
    <row r="18" customFormat="false" ht="15" hidden="false" customHeight="true" outlineLevel="0" collapsed="false">
      <c r="A18" s="21" t="s">
        <v>243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 customFormat="false" ht="15" hidden="false" customHeight="true" outlineLevel="0" collapsed="false">
      <c r="A19" s="21" t="s">
        <v>244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 customFormat="false" ht="15" hidden="false" customHeight="true" outlineLevel="0" collapsed="false">
      <c r="A20" s="32" t="s">
        <v>313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</row>
    <row r="22" customFormat="false" ht="15" hidden="false" customHeight="true" outlineLevel="0" collapsed="false">
      <c r="A22" s="19" t="s">
        <v>314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customFormat="false" ht="15" hidden="false" customHeight="true" outlineLevel="0" collapsed="false">
      <c r="A23" s="21" t="s">
        <v>246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customFormat="false" ht="15" hidden="false" customHeight="true" outlineLevel="0" collapsed="false">
      <c r="A24" s="21" t="s">
        <v>247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 customFormat="false" ht="15" hidden="false" customHeight="true" outlineLevel="0" collapsed="false">
      <c r="A25" s="21" t="s">
        <v>315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customFormat="false" ht="15" hidden="false" customHeight="true" outlineLevel="0" collapsed="false">
      <c r="A26" s="21" t="s">
        <v>249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</row>
    <row r="27" customFormat="false" ht="15" hidden="false" customHeight="true" outlineLevel="0" collapsed="false">
      <c r="A27" s="21" t="s">
        <v>250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 customFormat="false" ht="15" hidden="false" customHeight="true" outlineLevel="0" collapsed="false">
      <c r="A28" s="32" t="s">
        <v>316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</row>
    <row r="30" customFormat="false" ht="15" hidden="false" customHeight="true" outlineLevel="0" collapsed="false">
      <c r="A30" s="32" t="s">
        <v>252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</row>
    <row r="31" customFormat="false" ht="15" hidden="false" customHeight="true" outlineLevel="0" collapsed="false">
      <c r="A31" s="21" t="s">
        <v>253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customFormat="false" ht="15" hidden="false" customHeight="true" outlineLevel="0" collapsed="false">
      <c r="A32" s="32" t="s">
        <v>317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1" min="2" style="1" width="13"/>
  </cols>
  <sheetData>
    <row r="1" customFormat="false" ht="21.75" hidden="false" customHeight="true" outlineLevel="0" collapsed="false">
      <c r="A1" s="14" t="s">
        <v>318</v>
      </c>
    </row>
    <row r="2" customFormat="false" ht="15.75" hidden="false" customHeight="true" outlineLevel="0" collapsed="false">
      <c r="A2" s="15" t="s">
        <v>319</v>
      </c>
    </row>
    <row r="4" customFormat="false" ht="15" hidden="false" customHeight="true" outlineLevel="0" collapsed="false"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  <c r="I4" s="16" t="s">
        <v>127</v>
      </c>
      <c r="J4" s="16" t="s">
        <v>128</v>
      </c>
      <c r="K4" s="16" t="s">
        <v>129</v>
      </c>
      <c r="M4" s="50" t="s">
        <v>320</v>
      </c>
    </row>
    <row r="5" customFormat="false" ht="15" hidden="false" customHeight="true" outlineLevel="0" collapsed="false">
      <c r="B5" s="18" t="s">
        <v>131</v>
      </c>
      <c r="C5" s="18" t="s">
        <v>131</v>
      </c>
      <c r="D5" s="18" t="s">
        <v>131</v>
      </c>
      <c r="E5" s="18" t="s">
        <v>131</v>
      </c>
      <c r="F5" s="18" t="s">
        <v>131</v>
      </c>
      <c r="G5" s="18" t="s">
        <v>132</v>
      </c>
      <c r="H5" s="18" t="s">
        <v>132</v>
      </c>
      <c r="I5" s="18" t="s">
        <v>132</v>
      </c>
      <c r="J5" s="18" t="s">
        <v>132</v>
      </c>
      <c r="K5" s="18" t="s">
        <v>132</v>
      </c>
      <c r="M5" s="1" t="s">
        <v>321</v>
      </c>
      <c r="N5" s="51" t="n">
        <v>7.39</v>
      </c>
    </row>
    <row r="6" customFormat="false" ht="15" hidden="false" customHeight="false" outlineLevel="0" collapsed="false">
      <c r="M6" s="1" t="s">
        <v>322</v>
      </c>
      <c r="N6" s="51" t="n">
        <v>6.96</v>
      </c>
    </row>
    <row r="7" customFormat="false" ht="15" hidden="false" customHeight="true" outlineLevel="0" collapsed="false">
      <c r="A7" s="52" t="s">
        <v>323</v>
      </c>
      <c r="B7" s="20"/>
      <c r="C7" s="20"/>
      <c r="D7" s="20"/>
      <c r="E7" s="20"/>
      <c r="F7" s="20"/>
      <c r="G7" s="20"/>
      <c r="H7" s="20"/>
      <c r="I7" s="20"/>
      <c r="J7" s="20"/>
      <c r="K7" s="20"/>
      <c r="M7" s="1" t="s">
        <v>324</v>
      </c>
      <c r="N7" s="51" t="n">
        <v>4.88</v>
      </c>
    </row>
    <row r="8" customFormat="false" ht="15" hidden="false" customHeight="false" outlineLevel="0" collapsed="false">
      <c r="M8" s="1" t="s">
        <v>325</v>
      </c>
      <c r="N8" s="53" t="n">
        <v>346</v>
      </c>
    </row>
    <row r="9" customFormat="false" ht="15" hidden="false" customHeight="true" outlineLevel="0" collapsed="false">
      <c r="A9" s="54" t="s">
        <v>208</v>
      </c>
      <c r="B9" s="55"/>
      <c r="C9" s="55"/>
      <c r="D9" s="55"/>
      <c r="E9" s="55"/>
      <c r="F9" s="55"/>
      <c r="G9" s="55"/>
      <c r="H9" s="55"/>
      <c r="I9" s="55"/>
      <c r="J9" s="55"/>
      <c r="K9" s="55"/>
      <c r="M9" s="1" t="s">
        <v>326</v>
      </c>
      <c r="N9" s="56" t="n">
        <f aca="false">N5*N8</f>
        <v>2556.94</v>
      </c>
    </row>
    <row r="10" customFormat="false" ht="15" hidden="false" customHeight="true" outlineLevel="0" collapsed="false">
      <c r="A10" s="54" t="s">
        <v>327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M10" s="1" t="s">
        <v>328</v>
      </c>
      <c r="N10" s="51" t="n">
        <v>7.95</v>
      </c>
    </row>
    <row r="11" customFormat="false" ht="15" hidden="false" customHeight="true" outlineLevel="0" collapsed="false">
      <c r="A11" s="54" t="s">
        <v>329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</row>
    <row r="12" customFormat="false" ht="15" hidden="false" customHeight="true" outlineLevel="0" collapsed="false">
      <c r="A12" s="54" t="s">
        <v>330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</row>
    <row r="13" customFormat="false" ht="15" hidden="false" customHeight="true" outlineLevel="0" collapsed="false">
      <c r="A13" s="54" t="s">
        <v>331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</row>
    <row r="14" customFormat="false" ht="15" hidden="false" customHeight="true" outlineLevel="0" collapsed="false">
      <c r="A14" s="54" t="s">
        <v>332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</row>
    <row r="16" customFormat="false" ht="15" hidden="false" customHeight="true" outlineLevel="0" collapsed="false">
      <c r="A16" s="57" t="s">
        <v>333</v>
      </c>
      <c r="B16" s="58" t="n">
        <f aca="false">SUM(B9:B14)</f>
        <v>0</v>
      </c>
      <c r="C16" s="58" t="n">
        <f aca="false">SUM(C9:C14)</f>
        <v>0</v>
      </c>
      <c r="D16" s="58" t="n">
        <f aca="false">SUM(D9:D14)</f>
        <v>0</v>
      </c>
      <c r="E16" s="58" t="n">
        <f aca="false">SUM(E9:E14)</f>
        <v>0</v>
      </c>
      <c r="F16" s="58" t="n">
        <f aca="false">SUM(F9:F14)</f>
        <v>0</v>
      </c>
      <c r="G16" s="58" t="n">
        <f aca="false">SUM(G9:G14)</f>
        <v>0</v>
      </c>
      <c r="H16" s="58" t="n">
        <f aca="false">SUM(H9:H14)</f>
        <v>0</v>
      </c>
      <c r="I16" s="58" t="n">
        <f aca="false">SUM(I9:I14)</f>
        <v>0</v>
      </c>
      <c r="J16" s="58" t="n">
        <f aca="false">SUM(J9:J14)</f>
        <v>0</v>
      </c>
      <c r="K16" s="58" t="n">
        <f aca="false">SUM(K9:K14)</f>
        <v>0</v>
      </c>
    </row>
    <row r="18" customFormat="false" ht="15" hidden="false" customHeight="true" outlineLevel="0" collapsed="false">
      <c r="A18" s="54" t="s">
        <v>334</v>
      </c>
      <c r="B18" s="59" t="n">
        <f aca="false">IFERROR(B16/'5. Income Statement'!B24,0)</f>
        <v>0</v>
      </c>
      <c r="C18" s="59" t="n">
        <f aca="false">IFERROR(C16/'5. Income Statement'!C24,0)</f>
        <v>0</v>
      </c>
      <c r="D18" s="59" t="n">
        <f aca="false">IFERROR(D16/'5. Income Statement'!D24,0)</f>
        <v>0</v>
      </c>
      <c r="E18" s="59" t="n">
        <f aca="false">IFERROR(E16/'5. Income Statement'!E24,0)</f>
        <v>0</v>
      </c>
      <c r="F18" s="59" t="n">
        <f aca="false">IFERROR(F16/'5. Income Statement'!F24,0)</f>
        <v>0</v>
      </c>
      <c r="G18" s="59" t="n">
        <f aca="false">IFERROR(G16/'5. Income Statement'!G24,0)</f>
        <v>0</v>
      </c>
      <c r="H18" s="59" t="n">
        <f aca="false">IFERROR(H16/'5. Income Statement'!H24,0)</f>
        <v>0</v>
      </c>
      <c r="I18" s="59" t="n">
        <f aca="false">IFERROR(I16/'5. Income Statement'!I24,0)</f>
        <v>0</v>
      </c>
      <c r="J18" s="59" t="n">
        <f aca="false">IFERROR(J16/'5. Income Statement'!J24,0)</f>
        <v>0</v>
      </c>
      <c r="K18" s="59" t="n">
        <f aca="false">IFERROR(K16/'5. Income Statement'!K24,0)</f>
        <v>0</v>
      </c>
    </row>
    <row r="21" customFormat="false" ht="15" hidden="false" customHeight="true" outlineLevel="0" collapsed="false">
      <c r="A21" s="52" t="s">
        <v>335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3" customFormat="false" ht="15" hidden="false" customHeight="true" outlineLevel="0" collapsed="false">
      <c r="A23" s="54" t="s">
        <v>333</v>
      </c>
      <c r="B23" s="55" t="n">
        <f aca="false">B16</f>
        <v>0</v>
      </c>
      <c r="C23" s="55" t="n">
        <f aca="false">C16</f>
        <v>0</v>
      </c>
      <c r="D23" s="55" t="n">
        <f aca="false">D16</f>
        <v>0</v>
      </c>
      <c r="E23" s="55" t="n">
        <f aca="false">E16</f>
        <v>0</v>
      </c>
      <c r="F23" s="55" t="n">
        <f aca="false">F16</f>
        <v>0</v>
      </c>
      <c r="G23" s="55" t="n">
        <f aca="false">G16</f>
        <v>0</v>
      </c>
      <c r="H23" s="55" t="n">
        <f aca="false">H16</f>
        <v>0</v>
      </c>
      <c r="I23" s="55" t="n">
        <f aca="false">I16</f>
        <v>0</v>
      </c>
      <c r="J23" s="55" t="n">
        <f aca="false">J16</f>
        <v>0</v>
      </c>
      <c r="K23" s="55" t="n">
        <f aca="false">K16</f>
        <v>0</v>
      </c>
    </row>
    <row r="24" customFormat="false" ht="15" hidden="false" customHeight="true" outlineLevel="0" collapsed="false">
      <c r="A24" s="54" t="s">
        <v>336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</row>
    <row r="25" customFormat="false" ht="15" hidden="false" customHeight="true" outlineLevel="0" collapsed="false">
      <c r="A25" s="54" t="s">
        <v>337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</row>
    <row r="26" customFormat="false" ht="15" hidden="false" customHeight="true" outlineLevel="0" collapsed="false">
      <c r="A26" s="54" t="s">
        <v>338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</row>
    <row r="27" customFormat="false" ht="15" hidden="false" customHeight="true" outlineLevel="0" collapsed="false">
      <c r="A27" s="54" t="s">
        <v>339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</row>
    <row r="28" customFormat="false" ht="15" hidden="false" customHeight="true" outlineLevel="0" collapsed="false">
      <c r="A28" s="21"/>
      <c r="B28" s="45"/>
      <c r="C28" s="45"/>
      <c r="D28" s="45"/>
      <c r="E28" s="45"/>
      <c r="F28" s="45"/>
      <c r="G28" s="45"/>
      <c r="H28" s="45"/>
      <c r="I28" s="45"/>
      <c r="J28" s="45"/>
      <c r="K28" s="45"/>
    </row>
    <row r="29" customFormat="false" ht="15" hidden="false" customHeight="true" outlineLevel="0" collapsed="false">
      <c r="A29" s="57" t="s">
        <v>340</v>
      </c>
      <c r="B29" s="60" t="n">
        <f aca="false">SUM(B23:B27)</f>
        <v>0</v>
      </c>
      <c r="C29" s="60" t="n">
        <f aca="false">SUM(C23:C27)</f>
        <v>0</v>
      </c>
      <c r="D29" s="60" t="n">
        <f aca="false">SUM(D23:D27)</f>
        <v>0</v>
      </c>
      <c r="E29" s="60" t="n">
        <f aca="false">SUM(E23:E27)</f>
        <v>0</v>
      </c>
      <c r="F29" s="60" t="n">
        <f aca="false">SUM(F23:F27)</f>
        <v>0</v>
      </c>
      <c r="G29" s="60" t="n">
        <f aca="false">SUM(G23:G27)</f>
        <v>0</v>
      </c>
      <c r="H29" s="60" t="n">
        <f aca="false">SUM(H23:H27)</f>
        <v>0</v>
      </c>
      <c r="I29" s="60" t="n">
        <f aca="false">SUM(I23:I27)</f>
        <v>0</v>
      </c>
      <c r="J29" s="60" t="n">
        <f aca="false">SUM(J23:J27)</f>
        <v>0</v>
      </c>
      <c r="K29" s="60" t="n">
        <f aca="false">SUM(K23:K27)</f>
        <v>0</v>
      </c>
    </row>
    <row r="30" customFormat="false" ht="15" hidden="false" customHeight="true" outlineLevel="0" collapsed="false">
      <c r="A30" s="54" t="s">
        <v>341</v>
      </c>
      <c r="B30" s="59" t="n">
        <f aca="false">IFERROR(B29/'5. Income Statement'!B24,0)</f>
        <v>0</v>
      </c>
      <c r="C30" s="59" t="n">
        <f aca="false">IFERROR(C29/'5. Income Statement'!C24,0)</f>
        <v>0</v>
      </c>
      <c r="D30" s="59" t="n">
        <f aca="false">IFERROR(D29/'5. Income Statement'!D24,0)</f>
        <v>0</v>
      </c>
      <c r="E30" s="59" t="n">
        <f aca="false">IFERROR(E29/'5. Income Statement'!E24,0)</f>
        <v>0</v>
      </c>
      <c r="F30" s="59" t="n">
        <f aca="false">IFERROR(F29/'5. Income Statement'!F24,0)</f>
        <v>0</v>
      </c>
      <c r="G30" s="59" t="n">
        <f aca="false">IFERROR(G29/'5. Income Statement'!G24,0)</f>
        <v>0</v>
      </c>
      <c r="H30" s="59" t="n">
        <f aca="false">IFERROR(H29/'5. Income Statement'!H24,0)</f>
        <v>0</v>
      </c>
      <c r="I30" s="59" t="n">
        <f aca="false">IFERROR(I29/'5. Income Statement'!I24,0)</f>
        <v>0</v>
      </c>
      <c r="J30" s="59" t="n">
        <f aca="false">IFERROR(J29/'5. Income Statement'!J24,0)</f>
        <v>0</v>
      </c>
      <c r="K30" s="59" t="n">
        <f aca="false">IFERROR(K29/'5. Income Statement'!K24,0)</f>
        <v>0</v>
      </c>
    </row>
    <row r="32" customFormat="false" ht="15" hidden="false" customHeight="true" outlineLevel="0" collapsed="false">
      <c r="A32" s="32"/>
      <c r="B32" s="61"/>
      <c r="C32" s="61"/>
      <c r="D32" s="61"/>
      <c r="E32" s="61"/>
      <c r="F32" s="61"/>
      <c r="G32" s="61"/>
      <c r="H32" s="61"/>
      <c r="I32" s="61"/>
      <c r="J32" s="61"/>
      <c r="K32" s="61"/>
    </row>
    <row r="33" customFormat="false" ht="15" hidden="false" customHeight="true" outlineLevel="0" collapsed="false">
      <c r="A33" s="52" t="s">
        <v>342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customFormat="false" ht="15" hidden="false" customHeight="true" outlineLevel="0" collapsed="false">
      <c r="A34" s="21"/>
      <c r="B34" s="62"/>
      <c r="C34" s="62"/>
      <c r="D34" s="62"/>
      <c r="E34" s="62"/>
      <c r="F34" s="62"/>
      <c r="G34" s="62"/>
      <c r="H34" s="62"/>
      <c r="I34" s="62"/>
      <c r="J34" s="62"/>
      <c r="K34" s="62"/>
    </row>
    <row r="35" customFormat="false" ht="15" hidden="false" customHeight="true" outlineLevel="0" collapsed="false">
      <c r="A35" s="54" t="s">
        <v>343</v>
      </c>
      <c r="B35" s="55" t="n">
        <f aca="false">B29</f>
        <v>0</v>
      </c>
      <c r="C35" s="55" t="n">
        <f aca="false">C29</f>
        <v>0</v>
      </c>
      <c r="D35" s="55" t="n">
        <f aca="false">D29</f>
        <v>0</v>
      </c>
      <c r="E35" s="55" t="n">
        <f aca="false">E29</f>
        <v>0</v>
      </c>
      <c r="F35" s="55" t="n">
        <f aca="false">F29</f>
        <v>0</v>
      </c>
      <c r="G35" s="55" t="n">
        <f aca="false">G29</f>
        <v>0</v>
      </c>
      <c r="H35" s="55" t="n">
        <f aca="false">H29</f>
        <v>0</v>
      </c>
      <c r="I35" s="55" t="n">
        <f aca="false">I29</f>
        <v>0</v>
      </c>
      <c r="J35" s="55" t="n">
        <f aca="false">J29</f>
        <v>0</v>
      </c>
      <c r="K35" s="55" t="n">
        <f aca="false">K29</f>
        <v>0</v>
      </c>
    </row>
    <row r="36" customFormat="false" ht="15" hidden="false" customHeight="true" outlineLevel="0" collapsed="false">
      <c r="A36" s="54" t="s">
        <v>344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</row>
    <row r="37" customFormat="false" ht="15" hidden="false" customHeight="true" outlineLevel="0" collapsed="false">
      <c r="A37" s="54" t="s">
        <v>345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</row>
    <row r="38" customFormat="false" ht="15" hidden="false" customHeight="true" outlineLevel="0" collapsed="false">
      <c r="A38" s="54" t="s">
        <v>346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</row>
    <row r="39" customFormat="false" ht="15" hidden="false" customHeight="true" outlineLevel="0" collapsed="false">
      <c r="A39" s="54" t="s">
        <v>347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</row>
    <row r="40" customFormat="false" ht="15" hidden="false" customHeight="true" outlineLevel="0" collapsed="false">
      <c r="A40" s="54" t="s">
        <v>348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</row>
    <row r="41" customFormat="false" ht="15" hidden="false" customHeight="true" outlineLevel="0" collapsed="false">
      <c r="A41" s="54" t="s">
        <v>349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</row>
    <row r="42" customFormat="false" ht="15" hidden="false" customHeight="true" outlineLevel="0" collapsed="false">
      <c r="A42" s="54" t="s">
        <v>350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</row>
    <row r="43" customFormat="false" ht="15" hidden="false" customHeight="true" outlineLevel="0" collapsed="false">
      <c r="A43" s="54" t="s">
        <v>351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</row>
    <row r="44" customFormat="false" ht="15" hidden="false" customHeight="true" outlineLevel="0" collapsed="false">
      <c r="A44" s="54" t="s">
        <v>352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</row>
    <row r="45" customFormat="false" ht="15" hidden="false" customHeight="true" outlineLevel="0" collapsed="false">
      <c r="A45" s="54" t="s">
        <v>353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</row>
    <row r="46" customFormat="false" ht="15" hidden="false" customHeight="true" outlineLevel="0" collapsed="false">
      <c r="A46" s="63"/>
    </row>
    <row r="47" customFormat="false" ht="15" hidden="false" customHeight="true" outlineLevel="0" collapsed="false">
      <c r="A47" s="57" t="s">
        <v>354</v>
      </c>
      <c r="B47" s="60" t="n">
        <f aca="false">SUM(B35:B45)</f>
        <v>0</v>
      </c>
      <c r="C47" s="60" t="n">
        <f aca="false">SUM(C35:C45)</f>
        <v>0</v>
      </c>
      <c r="D47" s="60" t="n">
        <f aca="false">SUM(D35:D45)</f>
        <v>0</v>
      </c>
      <c r="E47" s="60" t="n">
        <f aca="false">SUM(E35:E45)</f>
        <v>0</v>
      </c>
      <c r="F47" s="60" t="n">
        <f aca="false">SUM(F35:F45)</f>
        <v>0</v>
      </c>
      <c r="G47" s="60" t="n">
        <f aca="false">SUM(G35:G45)</f>
        <v>0</v>
      </c>
      <c r="H47" s="60" t="n">
        <f aca="false">SUM(H35:H45)</f>
        <v>0</v>
      </c>
      <c r="I47" s="60" t="n">
        <f aca="false">SUM(I35:I45)</f>
        <v>0</v>
      </c>
      <c r="J47" s="60" t="n">
        <f aca="false">SUM(J35:J45)</f>
        <v>0</v>
      </c>
      <c r="K47" s="60" t="n">
        <f aca="false">SUM(K35:K45)</f>
        <v>0</v>
      </c>
    </row>
    <row r="49" customFormat="false" ht="15" hidden="false" customHeight="true" outlineLevel="0" collapsed="false">
      <c r="A49" s="54" t="s">
        <v>355</v>
      </c>
      <c r="B49" s="59" t="n">
        <f aca="false">IFERROR(B47/'5. Income Statement'!B24,0)</f>
        <v>0</v>
      </c>
      <c r="C49" s="59" t="n">
        <f aca="false">IFERROR(C47/'5. Income Statement'!C24,0)</f>
        <v>0</v>
      </c>
      <c r="D49" s="59" t="n">
        <f aca="false">IFERROR(D47/'5. Income Statement'!D24,0)</f>
        <v>0</v>
      </c>
      <c r="E49" s="59" t="n">
        <f aca="false">IFERROR(E47/'5. Income Statement'!E24,0)</f>
        <v>0</v>
      </c>
      <c r="F49" s="59" t="n">
        <f aca="false">IFERROR(F47/'5. Income Statement'!F24,0)</f>
        <v>0</v>
      </c>
      <c r="G49" s="59" t="n">
        <f aca="false">IFERROR(G47/'5. Income Statement'!G24,0)</f>
        <v>0</v>
      </c>
      <c r="H49" s="59" t="n">
        <f aca="false">IFERROR(H47/'5. Income Statement'!H24,0)</f>
        <v>0</v>
      </c>
      <c r="I49" s="59" t="n">
        <f aca="false">IFERROR(I47/'5. Income Statement'!I24,0)</f>
        <v>0</v>
      </c>
      <c r="J49" s="59" t="n">
        <f aca="false">IFERROR(J47/'5. Income Statement'!J24,0)</f>
        <v>0</v>
      </c>
      <c r="K49" s="59" t="n">
        <f aca="false">IFERROR(K47/'5. Income Statement'!K24,0)</f>
        <v>0</v>
      </c>
    </row>
    <row r="51" customFormat="false" ht="15" hidden="false" customHeight="true" outlineLevel="0" collapsed="false">
      <c r="A51" s="54" t="s">
        <v>57</v>
      </c>
      <c r="B51" s="59"/>
      <c r="C51" s="59"/>
      <c r="D51" s="59"/>
      <c r="E51" s="59"/>
      <c r="F51" s="64" t="n">
        <v>4.88</v>
      </c>
      <c r="G51" s="59"/>
      <c r="H51" s="59"/>
      <c r="I51" s="59"/>
      <c r="J51" s="59"/>
      <c r="K51" s="59"/>
    </row>
    <row r="53" customFormat="false" ht="15" hidden="false" customHeight="true" outlineLevel="0" collapsed="false">
      <c r="A53" s="57" t="s">
        <v>356</v>
      </c>
      <c r="B53" s="65" t="n">
        <f aca="false">IFERROR(B51/B49,0)</f>
        <v>0</v>
      </c>
      <c r="C53" s="65" t="n">
        <f aca="false">IFERROR(C51/C49,0)</f>
        <v>0</v>
      </c>
      <c r="D53" s="65" t="n">
        <f aca="false">IFERROR(D51/D49,0)</f>
        <v>0</v>
      </c>
      <c r="E53" s="65" t="n">
        <f aca="false">IFERROR(E51/E49,0)</f>
        <v>0</v>
      </c>
      <c r="F53" s="65" t="n">
        <f aca="false">IFERROR(F51/F49,0)</f>
        <v>0</v>
      </c>
      <c r="G53" s="65" t="n">
        <f aca="false">IFERROR(G51/G49,0)</f>
        <v>0</v>
      </c>
      <c r="H53" s="65" t="n">
        <f aca="false">IFERROR(H51/H49,0)</f>
        <v>0</v>
      </c>
      <c r="I53" s="65" t="n">
        <f aca="false">IFERROR(I51/I49,0)</f>
        <v>0</v>
      </c>
      <c r="J53" s="65" t="n">
        <f aca="false">IFERROR(J51/J49,0)</f>
        <v>0</v>
      </c>
      <c r="K53" s="65" t="n">
        <f aca="false">IFERROR(K51/K49,0)</f>
        <v>0</v>
      </c>
    </row>
    <row r="56" customFormat="false" ht="15" hidden="false" customHeight="true" outlineLevel="0" collapsed="false">
      <c r="A56" s="66" t="s">
        <v>357</v>
      </c>
    </row>
    <row r="57" customFormat="false" ht="15" hidden="false" customHeight="true" outlineLevel="0" collapsed="false">
      <c r="A57" s="67" t="s">
        <v>358</v>
      </c>
    </row>
    <row r="58" customFormat="false" ht="15" hidden="false" customHeight="true" outlineLevel="0" collapsed="false">
      <c r="A58" s="67" t="s">
        <v>359</v>
      </c>
    </row>
    <row r="59" customFormat="false" ht="15" hidden="false" customHeight="true" outlineLevel="0" collapsed="false">
      <c r="A59" s="67" t="s">
        <v>360</v>
      </c>
    </row>
    <row r="60" customFormat="false" ht="15" hidden="false" customHeight="true" outlineLevel="0" collapsed="false">
      <c r="A60" s="67" t="s">
        <v>361</v>
      </c>
    </row>
    <row r="61" customFormat="false" ht="15" hidden="false" customHeight="true" outlineLevel="0" collapsed="false">
      <c r="A61" s="67" t="s">
        <v>362</v>
      </c>
    </row>
    <row r="62" customFormat="false" ht="15" hidden="false" customHeight="true" outlineLevel="0" collapsed="false">
      <c r="A62" s="67" t="s">
        <v>363</v>
      </c>
    </row>
    <row r="63" customFormat="false" ht="15" hidden="false" customHeight="true" outlineLevel="0" collapsed="false">
      <c r="A63" s="67" t="s">
        <v>364</v>
      </c>
    </row>
    <row r="64" customFormat="false" ht="15" hidden="false" customHeight="true" outlineLevel="0" collapsed="false">
      <c r="A64" s="67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4" t="s">
        <v>366</v>
      </c>
    </row>
    <row r="2" customFormat="false" ht="15.75" hidden="false" customHeight="true" outlineLevel="0" collapsed="false">
      <c r="A2" s="15" t="s">
        <v>367</v>
      </c>
    </row>
    <row r="7" customFormat="false" ht="15" hidden="false" customHeight="true" outlineLevel="0" collapsed="false">
      <c r="A7" s="19" t="s">
        <v>368</v>
      </c>
      <c r="B7" s="20"/>
      <c r="C7" s="20"/>
      <c r="D7" s="20"/>
      <c r="E7" s="20"/>
      <c r="F7" s="20"/>
      <c r="G7" s="20"/>
      <c r="H7" s="20"/>
      <c r="I7" s="20"/>
      <c r="J7" s="20"/>
    </row>
    <row r="9" customFormat="false" ht="15" hidden="false" customHeight="true" outlineLevel="0" collapsed="false">
      <c r="A9" s="32" t="s">
        <v>369</v>
      </c>
    </row>
    <row r="10" customFormat="false" ht="15" hidden="false" customHeight="true" outlineLevel="0" collapsed="false">
      <c r="A10" s="21" t="s">
        <v>370</v>
      </c>
      <c r="B10" s="68" t="n">
        <f aca="false">'1. Assumptions'!B31</f>
        <v>0.1055</v>
      </c>
    </row>
    <row r="11" customFormat="false" ht="15" hidden="false" customHeight="true" outlineLevel="0" collapsed="false">
      <c r="A11" s="21" t="s">
        <v>163</v>
      </c>
      <c r="B11" s="68" t="n">
        <f aca="false">'1. Assumptions'!B32</f>
        <v>0.045</v>
      </c>
    </row>
    <row r="12" customFormat="false" ht="15" hidden="false" customHeight="true" outlineLevel="0" collapsed="false">
      <c r="A12" s="32" t="s">
        <v>167</v>
      </c>
      <c r="B12" s="69" t="n">
        <f aca="false">'1. Assumptions'!B34</f>
        <v>0.078275</v>
      </c>
    </row>
    <row r="15" customFormat="false" ht="15" hidden="false" customHeight="true" outlineLevel="0" collapsed="false">
      <c r="A15" s="32" t="s">
        <v>371</v>
      </c>
    </row>
    <row r="16" customFormat="false" ht="15" hidden="false" customHeight="true" outlineLevel="0" collapsed="false">
      <c r="B16" s="16" t="s">
        <v>125</v>
      </c>
      <c r="C16" s="16" t="s">
        <v>126</v>
      </c>
      <c r="D16" s="16" t="s">
        <v>127</v>
      </c>
      <c r="E16" s="16" t="s">
        <v>128</v>
      </c>
      <c r="F16" s="16" t="s">
        <v>129</v>
      </c>
      <c r="G16" s="16" t="s">
        <v>372</v>
      </c>
    </row>
    <row r="17" customFormat="false" ht="15" hidden="false" customHeight="true" outlineLevel="0" collapsed="false">
      <c r="A17" s="1" t="s">
        <v>321</v>
      </c>
      <c r="B17" s="70" t="n">
        <f aca="false">'8. FFO-AFFO'!$N$5*(1+'1. Assumptions'!$G$28)</f>
        <v>7.94425</v>
      </c>
      <c r="C17" s="70" t="n">
        <f aca="false">B17*(1+'1. Assumptions'!$H$28)</f>
        <v>8.420905</v>
      </c>
      <c r="D17" s="70" t="n">
        <f aca="false">C17*(1+'1. Assumptions'!$I$28)</f>
        <v>8.84195025</v>
      </c>
      <c r="E17" s="70" t="n">
        <f aca="false">D17*(1+'1. Assumptions'!$J$28)</f>
        <v>9.2840477625</v>
      </c>
      <c r="F17" s="70" t="n">
        <f aca="false">E17*(1+'1. Assumptions'!$K$28)</f>
        <v>9.655409673</v>
      </c>
      <c r="G17" s="70" t="n">
        <f aca="false">F17*(1+'1. Assumptions'!$B$12)</f>
        <v>9.896794914825</v>
      </c>
    </row>
    <row r="18" customFormat="false" ht="15" hidden="false" customHeight="true" outlineLevel="0" collapsed="false">
      <c r="A18" s="21" t="s">
        <v>354</v>
      </c>
      <c r="B18" s="71" t="n">
        <f aca="false">B17*'8. FFO-AFFO'!$N$8*'1. Assumptions'!$B$38</f>
        <v>2418.86524</v>
      </c>
      <c r="C18" s="71" t="n">
        <f aca="false">C17*'8. FFO-AFFO'!$N$8*'1. Assumptions'!$B$38</f>
        <v>2563.9971544</v>
      </c>
      <c r="D18" s="71" t="n">
        <f aca="false">D17*'8. FFO-AFFO'!$N$8*'1. Assumptions'!$B$38</f>
        <v>2692.19701212</v>
      </c>
      <c r="E18" s="71" t="n">
        <f aca="false">E17*'8. FFO-AFFO'!$N$8*'1. Assumptions'!$B$38</f>
        <v>2826.806862726</v>
      </c>
      <c r="F18" s="71" t="n">
        <f aca="false">F17*'8. FFO-AFFO'!$N$8*'1. Assumptions'!$B$38</f>
        <v>2939.87913723504</v>
      </c>
      <c r="G18" s="71" t="n">
        <f aca="false">G17*'8. FFO-AFFO'!$N$8*'1. Assumptions'!$B$38</f>
        <v>3013.37611566592</v>
      </c>
    </row>
    <row r="19" customFormat="false" ht="15" hidden="false" customHeight="true" outlineLevel="0" collapsed="false">
      <c r="A19" s="21" t="s">
        <v>373</v>
      </c>
      <c r="B19" s="71" t="n">
        <f aca="false">-'1. Assumptions'!G23</f>
        <v>-800</v>
      </c>
      <c r="C19" s="71" t="n">
        <f aca="false">-'1. Assumptions'!H23</f>
        <v>-1000</v>
      </c>
      <c r="D19" s="71" t="n">
        <f aca="false">-'1. Assumptions'!I23</f>
        <v>-1200</v>
      </c>
      <c r="E19" s="71" t="n">
        <f aca="false">-'1. Assumptions'!J23</f>
        <v>-1300</v>
      </c>
      <c r="F19" s="71" t="n">
        <f aca="false">-'1. Assumptions'!K23</f>
        <v>-1100</v>
      </c>
      <c r="G19" s="40"/>
    </row>
    <row r="20" customFormat="false" ht="15" hidden="false" customHeight="true" outlineLevel="0" collapsed="false">
      <c r="A20" s="21" t="s">
        <v>374</v>
      </c>
      <c r="B20" s="71" t="n">
        <f aca="false">-B19*'1. Assumptions'!$B$39</f>
        <v>400</v>
      </c>
      <c r="C20" s="71" t="n">
        <f aca="false">-C19*'1. Assumptions'!$B$39</f>
        <v>500</v>
      </c>
      <c r="D20" s="71" t="n">
        <f aca="false">-D19*'1. Assumptions'!$B$39</f>
        <v>600</v>
      </c>
      <c r="E20" s="71" t="n">
        <f aca="false">-E19*'1. Assumptions'!$B$39</f>
        <v>650</v>
      </c>
      <c r="F20" s="71" t="n">
        <f aca="false">-F19*'1. Assumptions'!$B$39</f>
        <v>550</v>
      </c>
      <c r="G20" s="40"/>
    </row>
    <row r="21" customFormat="false" ht="15" hidden="false" customHeight="true" outlineLevel="0" collapsed="false">
      <c r="A21" s="32" t="s">
        <v>375</v>
      </c>
      <c r="B21" s="71" t="n">
        <f aca="false">B18+B19+B20</f>
        <v>2018.86524</v>
      </c>
      <c r="C21" s="71" t="n">
        <f aca="false">C18+C19+C20</f>
        <v>2063.9971544</v>
      </c>
      <c r="D21" s="71" t="n">
        <f aca="false">D18+D19+D20</f>
        <v>2092.19701212</v>
      </c>
      <c r="E21" s="71" t="n">
        <f aca="false">E18+E19+E20</f>
        <v>2176.806862726</v>
      </c>
      <c r="F21" s="71" t="n">
        <f aca="false">F18+F19+F20</f>
        <v>2389.87913723504</v>
      </c>
      <c r="G21" s="40"/>
    </row>
    <row r="22" customFormat="false" ht="15" hidden="false" customHeight="true" outlineLevel="0" collapsed="false">
      <c r="A22" s="21" t="s">
        <v>376</v>
      </c>
      <c r="B22" s="72" t="n">
        <f aca="false">1/(1+'1. Assumptions'!$B$31)^1</f>
        <v>0.904568068747173</v>
      </c>
      <c r="C22" s="72" t="n">
        <f aca="false">1/(1+'1. Assumptions'!$B$31)^2</f>
        <v>0.818243390996991</v>
      </c>
      <c r="D22" s="72" t="n">
        <f aca="false">1/(1+'1. Assumptions'!$B$31)^3</f>
        <v>0.740156843959286</v>
      </c>
      <c r="E22" s="72" t="n">
        <f aca="false">1/(1+'1. Assumptions'!$B$31)^4</f>
        <v>0.669522246910254</v>
      </c>
      <c r="F22" s="72" t="n">
        <f aca="false">1/(1+'1. Assumptions'!$B$31)^5</f>
        <v>0.605628445870877</v>
      </c>
      <c r="G22" s="72"/>
    </row>
    <row r="23" customFormat="false" ht="15" hidden="false" customHeight="true" outlineLevel="0" collapsed="false">
      <c r="A23" s="32" t="s">
        <v>377</v>
      </c>
      <c r="B23" s="71" t="n">
        <f aca="false">B21*B22</f>
        <v>1826.2010312076</v>
      </c>
      <c r="C23" s="71" t="n">
        <f aca="false">C21*C22</f>
        <v>1688.8520306244</v>
      </c>
      <c r="D23" s="71" t="n">
        <f aca="false">D21*D22</f>
        <v>1548.55393743179</v>
      </c>
      <c r="E23" s="71" t="n">
        <f aca="false">E21*E22</f>
        <v>1457.42062182197</v>
      </c>
      <c r="F23" s="71" t="n">
        <f aca="false">F21*F22</f>
        <v>1447.37878770289</v>
      </c>
      <c r="G23" s="40"/>
    </row>
    <row r="26" customFormat="false" ht="15" hidden="false" customHeight="true" outlineLevel="0" collapsed="false">
      <c r="A26" s="21" t="s">
        <v>378</v>
      </c>
      <c r="G26" s="71" t="n">
        <f aca="false">G18/'1. Assumptions'!$B$35</f>
        <v>46359.6325487064</v>
      </c>
    </row>
    <row r="27" customFormat="false" ht="15" hidden="false" customHeight="true" outlineLevel="0" collapsed="false">
      <c r="A27" s="32" t="s">
        <v>379</v>
      </c>
      <c r="G27" s="56" t="n">
        <f aca="false">G26*F22</f>
        <v>28076.712211618</v>
      </c>
    </row>
    <row r="28" customFormat="false" ht="15" hidden="false" customHeight="true" outlineLevel="0" collapsed="false">
      <c r="A28" s="32" t="s">
        <v>380</v>
      </c>
      <c r="B28" s="56" t="n">
        <f aca="false">SUM(B23:F23)</f>
        <v>7968.40640878864</v>
      </c>
    </row>
    <row r="29" customFormat="false" ht="15" hidden="false" customHeight="true" outlineLevel="0" collapsed="false">
      <c r="A29" s="21" t="s">
        <v>381</v>
      </c>
      <c r="B29" s="56" t="n">
        <f aca="false">G27</f>
        <v>28076.712211618</v>
      </c>
    </row>
    <row r="30" customFormat="false" ht="15" hidden="false" customHeight="true" outlineLevel="0" collapsed="false">
      <c r="A30" s="21" t="s">
        <v>382</v>
      </c>
      <c r="B30" s="56" t="n">
        <f aca="false">B28+B29</f>
        <v>36045.1186204066</v>
      </c>
    </row>
    <row r="31" customFormat="false" ht="15" hidden="false" customHeight="true" outlineLevel="0" collapsed="false">
      <c r="A31" s="32" t="s">
        <v>325</v>
      </c>
      <c r="B31" s="73" t="n">
        <f aca="false">'8. FFO-AFFO'!$N$8</f>
        <v>346</v>
      </c>
    </row>
    <row r="32" customFormat="false" ht="15" hidden="false" customHeight="true" outlineLevel="0" collapsed="false">
      <c r="A32" s="21"/>
    </row>
    <row r="33" customFormat="false" ht="15" hidden="false" customHeight="true" outlineLevel="0" collapsed="false">
      <c r="A33" s="74" t="s">
        <v>383</v>
      </c>
      <c r="B33" s="75" t="n">
        <f aca="false">IFERROR(B30/B31,0)</f>
        <v>104.17664341158</v>
      </c>
    </row>
    <row r="34" customFormat="false" ht="15" hidden="false" customHeight="false" outlineLevel="0" collapsed="false">
      <c r="A34" s="44" t="s">
        <v>384</v>
      </c>
    </row>
    <row r="38" customFormat="false" ht="15" hidden="false" customHeight="true" outlineLevel="0" collapsed="false">
      <c r="A38" s="19" t="s">
        <v>385</v>
      </c>
      <c r="B38" s="20"/>
      <c r="C38" s="20"/>
      <c r="D38" s="20"/>
      <c r="E38" s="20"/>
      <c r="F38" s="20"/>
      <c r="G38" s="20"/>
      <c r="H38" s="20"/>
      <c r="I38" s="20"/>
      <c r="J38" s="20"/>
    </row>
    <row r="40" customFormat="false" ht="15" hidden="false" customHeight="true" outlineLevel="0" collapsed="false">
      <c r="A40" s="32" t="s">
        <v>386</v>
      </c>
    </row>
    <row r="41" customFormat="false" ht="15" hidden="false" customHeight="true" outlineLevel="0" collapsed="false">
      <c r="A41" s="32" t="s">
        <v>387</v>
      </c>
      <c r="B41" s="32" t="s">
        <v>388</v>
      </c>
      <c r="C41" s="32" t="s">
        <v>389</v>
      </c>
      <c r="D41" s="32" t="s">
        <v>390</v>
      </c>
    </row>
    <row r="42" customFormat="false" ht="15" hidden="false" customHeight="true" outlineLevel="0" collapsed="false">
      <c r="A42" s="21" t="s">
        <v>144</v>
      </c>
      <c r="B42" s="45" t="n">
        <f aca="false">'3. Segment Build'!G17</f>
        <v>1792.2</v>
      </c>
      <c r="C42" s="22" t="n">
        <v>0.065</v>
      </c>
      <c r="D42" s="40" t="n">
        <f aca="false">B42/C42</f>
        <v>27572.3076923077</v>
      </c>
    </row>
    <row r="43" customFormat="false" ht="15" hidden="false" customHeight="true" outlineLevel="0" collapsed="false">
      <c r="A43" s="21" t="s">
        <v>145</v>
      </c>
      <c r="B43" s="45" t="n">
        <f aca="false">'3. Segment Build'!G18</f>
        <v>1014.75</v>
      </c>
      <c r="C43" s="22" t="n">
        <v>0.065</v>
      </c>
      <c r="D43" s="40" t="n">
        <f aca="false">B43/C43</f>
        <v>15611.5384615385</v>
      </c>
    </row>
    <row r="44" customFormat="false" ht="15" hidden="false" customHeight="true" outlineLevel="0" collapsed="false">
      <c r="A44" s="21" t="s">
        <v>146</v>
      </c>
      <c r="B44" s="45" t="n">
        <f aca="false">'3. Segment Build'!G19</f>
        <v>592.8</v>
      </c>
      <c r="C44" s="22" t="n">
        <v>0.07</v>
      </c>
      <c r="D44" s="40" t="n">
        <f aca="false">B44/C44</f>
        <v>8468.57142857143</v>
      </c>
    </row>
    <row r="45" customFormat="false" ht="15" hidden="false" customHeight="true" outlineLevel="0" collapsed="false">
      <c r="A45" s="21" t="s">
        <v>147</v>
      </c>
      <c r="B45" s="45" t="n">
        <f aca="false">'3. Segment Build'!G20</f>
        <v>373.32</v>
      </c>
      <c r="C45" s="22" t="n">
        <v>0.06</v>
      </c>
      <c r="D45" s="40" t="n">
        <f aca="false">B45/C45</f>
        <v>6222</v>
      </c>
    </row>
    <row r="47" customFormat="false" ht="15" hidden="false" customHeight="true" outlineLevel="0" collapsed="false">
      <c r="A47" s="32" t="s">
        <v>391</v>
      </c>
      <c r="D47" s="76" t="n">
        <f aca="false">SUM(D42:D45)</f>
        <v>57874.4175824176</v>
      </c>
    </row>
    <row r="48" customFormat="false" ht="15" hidden="false" customHeight="false" outlineLevel="0" collapsed="false">
      <c r="A48" s="44" t="s">
        <v>392</v>
      </c>
    </row>
    <row r="49" customFormat="false" ht="15" hidden="false" customHeight="true" outlineLevel="0" collapsed="false">
      <c r="A49" s="21" t="s">
        <v>393</v>
      </c>
      <c r="D49" s="45" t="n">
        <f aca="false">'4. Dev Pipeline'!F20</f>
        <v>280</v>
      </c>
    </row>
    <row r="50" customFormat="false" ht="15" hidden="false" customHeight="true" outlineLevel="0" collapsed="false">
      <c r="A50" s="21" t="s">
        <v>394</v>
      </c>
      <c r="D50" s="46" t="n">
        <f aca="false">'2. Historicals'!F41</f>
        <v>0</v>
      </c>
    </row>
    <row r="51" customFormat="false" ht="15" hidden="false" customHeight="true" outlineLevel="0" collapsed="false">
      <c r="A51" s="21" t="s">
        <v>395</v>
      </c>
      <c r="D51" s="46" t="n">
        <f aca="false">'2. Historicals'!F46</f>
        <v>18225</v>
      </c>
    </row>
    <row r="52" customFormat="false" ht="15" hidden="false" customHeight="true" outlineLevel="0" collapsed="false">
      <c r="A52" s="21" t="s">
        <v>396</v>
      </c>
      <c r="D52" s="36" t="n">
        <v>755</v>
      </c>
    </row>
    <row r="54" customFormat="false" ht="15" hidden="false" customHeight="true" outlineLevel="0" collapsed="false">
      <c r="A54" s="32" t="s">
        <v>397</v>
      </c>
      <c r="D54" s="41" t="n">
        <f aca="false">D47+D49+D50-D51-D52</f>
        <v>39174.4175824176</v>
      </c>
    </row>
    <row r="55" customFormat="false" ht="15" hidden="false" customHeight="true" outlineLevel="0" collapsed="false">
      <c r="A55" s="21" t="s">
        <v>211</v>
      </c>
      <c r="D55" s="48" t="n">
        <f aca="false">'8. FFO-AFFO'!$N$8</f>
        <v>346</v>
      </c>
    </row>
    <row r="57" customFormat="false" ht="15" hidden="false" customHeight="true" outlineLevel="0" collapsed="false">
      <c r="A57" s="32" t="s">
        <v>398</v>
      </c>
      <c r="D57" s="77" t="n">
        <f aca="false">IFERROR(D54/D55,0)</f>
        <v>113.220860064791</v>
      </c>
    </row>
    <row r="62" customFormat="false" ht="15" hidden="false" customHeight="true" outlineLevel="0" collapsed="false">
      <c r="A62" s="19" t="s">
        <v>399</v>
      </c>
      <c r="B62" s="20"/>
      <c r="C62" s="20"/>
      <c r="D62" s="20"/>
      <c r="E62" s="20"/>
      <c r="F62" s="20"/>
      <c r="G62" s="20"/>
      <c r="H62" s="20"/>
      <c r="I62" s="20"/>
      <c r="J62" s="20"/>
    </row>
    <row r="64" customFormat="false" ht="15" hidden="false" customHeight="true" outlineLevel="0" collapsed="false">
      <c r="A64" s="21" t="s">
        <v>400</v>
      </c>
      <c r="B64" s="62" t="n">
        <f aca="false">B33</f>
        <v>104.17664341158</v>
      </c>
    </row>
    <row r="65" customFormat="false" ht="15" hidden="false" customHeight="true" outlineLevel="0" collapsed="false">
      <c r="A65" s="21" t="s">
        <v>401</v>
      </c>
      <c r="B65" s="62" t="n">
        <f aca="false">D57</f>
        <v>113.220860064791</v>
      </c>
    </row>
    <row r="66" customFormat="false" ht="15" hidden="false" customHeight="true" outlineLevel="0" collapsed="false">
      <c r="A66" s="21" t="s">
        <v>402</v>
      </c>
      <c r="B66" s="64" t="n">
        <v>172.88</v>
      </c>
    </row>
    <row r="68" customFormat="false" ht="15" hidden="false" customHeight="true" outlineLevel="0" collapsed="false">
      <c r="A68" s="32" t="s">
        <v>403</v>
      </c>
      <c r="B68" s="77" t="n">
        <f aca="false">AVERAGE(B64:B65)</f>
        <v>108.698751738185</v>
      </c>
    </row>
    <row r="70" customFormat="false" ht="15" hidden="false" customHeight="true" outlineLevel="0" collapsed="false">
      <c r="A70" s="32" t="s">
        <v>404</v>
      </c>
      <c r="B70" s="78" t="n">
        <f aca="false">IFERROR(B68/B66-1,0)</f>
        <v>-0.37124738698412</v>
      </c>
    </row>
    <row r="72" customFormat="false" ht="15" hidden="false" customHeight="true" outlineLevel="0" collapsed="false">
      <c r="A72" s="32" t="s">
        <v>405</v>
      </c>
      <c r="B72" s="79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8" min="2" style="1" width="13"/>
  </cols>
  <sheetData>
    <row r="1" customFormat="false" ht="21.75" hidden="false" customHeight="true" outlineLevel="0" collapsed="false">
      <c r="A1" s="14" t="s">
        <v>407</v>
      </c>
    </row>
    <row r="2" customFormat="false" ht="15.75" hidden="false" customHeight="true" outlineLevel="0" collapsed="false">
      <c r="A2" s="15" t="s">
        <v>408</v>
      </c>
    </row>
    <row r="4" customFormat="false" ht="15" hidden="false" customHeight="false" outlineLevel="0" collapsed="false">
      <c r="A4" s="44" t="s">
        <v>409</v>
      </c>
    </row>
    <row r="7" customFormat="false" ht="15" hidden="false" customHeight="true" outlineLevel="0" collapsed="false">
      <c r="A7" s="19" t="s">
        <v>410</v>
      </c>
      <c r="B7" s="20"/>
      <c r="C7" s="20"/>
      <c r="D7" s="20"/>
      <c r="E7" s="20"/>
      <c r="F7" s="20"/>
      <c r="G7" s="20"/>
      <c r="H7" s="20"/>
    </row>
    <row r="9" customFormat="false" ht="15" hidden="false" customHeight="true" outlineLevel="0" collapsed="false">
      <c r="A9" s="32" t="s">
        <v>411</v>
      </c>
      <c r="B9" s="80" t="n">
        <v>0.055</v>
      </c>
      <c r="C9" s="80" t="n">
        <v>0.06</v>
      </c>
      <c r="D9" s="80" t="n">
        <v>0.065</v>
      </c>
      <c r="E9" s="80" t="n">
        <v>0.07</v>
      </c>
      <c r="F9" s="80" t="n">
        <v>0.075</v>
      </c>
    </row>
    <row r="10" customFormat="false" ht="15" hidden="false" customHeight="true" outlineLevel="0" collapsed="false">
      <c r="A10" s="78" t="n">
        <v>0.065</v>
      </c>
      <c r="B10" s="62" t="s">
        <v>412</v>
      </c>
      <c r="C10" s="62" t="s">
        <v>412</v>
      </c>
      <c r="D10" s="62" t="s">
        <v>412</v>
      </c>
      <c r="E10" s="62" t="s">
        <v>412</v>
      </c>
      <c r="F10" s="62" t="s">
        <v>412</v>
      </c>
    </row>
    <row r="11" customFormat="false" ht="15" hidden="false" customHeight="true" outlineLevel="0" collapsed="false">
      <c r="A11" s="78" t="n">
        <v>0.07</v>
      </c>
      <c r="B11" s="62" t="s">
        <v>412</v>
      </c>
      <c r="C11" s="62" t="s">
        <v>412</v>
      </c>
      <c r="D11" s="62" t="s">
        <v>412</v>
      </c>
      <c r="E11" s="62" t="s">
        <v>412</v>
      </c>
      <c r="F11" s="62" t="s">
        <v>412</v>
      </c>
    </row>
    <row r="12" customFormat="false" ht="15" hidden="false" customHeight="true" outlineLevel="0" collapsed="false">
      <c r="A12" s="78" t="n">
        <v>0.075</v>
      </c>
      <c r="B12" s="62" t="s">
        <v>412</v>
      </c>
      <c r="C12" s="62" t="s">
        <v>412</v>
      </c>
      <c r="D12" s="62" t="s">
        <v>412</v>
      </c>
      <c r="E12" s="62" t="s">
        <v>412</v>
      </c>
      <c r="F12" s="62" t="s">
        <v>412</v>
      </c>
    </row>
    <row r="13" customFormat="false" ht="15" hidden="false" customHeight="true" outlineLevel="0" collapsed="false">
      <c r="A13" s="78" t="n">
        <v>0.08</v>
      </c>
      <c r="B13" s="62" t="s">
        <v>412</v>
      </c>
      <c r="C13" s="62" t="s">
        <v>412</v>
      </c>
      <c r="D13" s="62" t="s">
        <v>412</v>
      </c>
      <c r="E13" s="62" t="s">
        <v>412</v>
      </c>
      <c r="F13" s="62" t="s">
        <v>412</v>
      </c>
    </row>
    <row r="14" customFormat="false" ht="15" hidden="false" customHeight="true" outlineLevel="0" collapsed="false">
      <c r="A14" s="78" t="n">
        <v>0.085</v>
      </c>
      <c r="B14" s="62" t="s">
        <v>412</v>
      </c>
      <c r="C14" s="62" t="s">
        <v>412</v>
      </c>
      <c r="D14" s="62" t="s">
        <v>412</v>
      </c>
      <c r="E14" s="62" t="s">
        <v>412</v>
      </c>
      <c r="F14" s="62" t="s">
        <v>412</v>
      </c>
    </row>
    <row r="19" customFormat="false" ht="15" hidden="false" customHeight="true" outlineLevel="0" collapsed="false">
      <c r="A19" s="19" t="s">
        <v>413</v>
      </c>
      <c r="B19" s="20"/>
      <c r="C19" s="20"/>
      <c r="D19" s="20"/>
      <c r="E19" s="20"/>
      <c r="F19" s="20"/>
      <c r="G19" s="20"/>
      <c r="H19" s="20"/>
    </row>
    <row r="21" customFormat="false" ht="15" hidden="false" customHeight="true" outlineLevel="0" collapsed="false">
      <c r="A21" s="32" t="s">
        <v>414</v>
      </c>
      <c r="B21" s="78" t="n">
        <v>0.055</v>
      </c>
      <c r="C21" s="78" t="n">
        <v>0.06</v>
      </c>
      <c r="D21" s="78" t="n">
        <v>0.065</v>
      </c>
      <c r="E21" s="78" t="n">
        <v>0.07</v>
      </c>
      <c r="F21" s="78" t="n">
        <v>0.075</v>
      </c>
    </row>
    <row r="22" customFormat="false" ht="15" hidden="false" customHeight="true" outlineLevel="0" collapsed="false">
      <c r="A22" s="78" t="n">
        <v>0.02</v>
      </c>
      <c r="B22" s="21" t="s">
        <v>415</v>
      </c>
      <c r="C22" s="21" t="s">
        <v>415</v>
      </c>
      <c r="D22" s="21" t="s">
        <v>415</v>
      </c>
      <c r="E22" s="21" t="s">
        <v>415</v>
      </c>
      <c r="F22" s="21" t="s">
        <v>415</v>
      </c>
    </row>
    <row r="23" customFormat="false" ht="15" hidden="false" customHeight="true" outlineLevel="0" collapsed="false">
      <c r="A23" s="78" t="n">
        <v>0.03</v>
      </c>
      <c r="B23" s="21" t="s">
        <v>415</v>
      </c>
      <c r="C23" s="21" t="s">
        <v>415</v>
      </c>
      <c r="D23" s="21" t="s">
        <v>415</v>
      </c>
      <c r="E23" s="21" t="s">
        <v>415</v>
      </c>
      <c r="F23" s="21" t="s">
        <v>415</v>
      </c>
    </row>
    <row r="24" customFormat="false" ht="15" hidden="false" customHeight="true" outlineLevel="0" collapsed="false">
      <c r="A24" s="78" t="n">
        <v>0.04</v>
      </c>
      <c r="B24" s="21" t="s">
        <v>415</v>
      </c>
      <c r="C24" s="21" t="s">
        <v>415</v>
      </c>
      <c r="D24" s="21" t="s">
        <v>415</v>
      </c>
      <c r="E24" s="21" t="s">
        <v>415</v>
      </c>
      <c r="F24" s="21" t="s">
        <v>415</v>
      </c>
    </row>
    <row r="25" customFormat="false" ht="15" hidden="false" customHeight="true" outlineLevel="0" collapsed="false">
      <c r="A25" s="78" t="n">
        <v>0.05</v>
      </c>
      <c r="B25" s="21" t="s">
        <v>415</v>
      </c>
      <c r="C25" s="21" t="s">
        <v>415</v>
      </c>
      <c r="D25" s="21" t="s">
        <v>415</v>
      </c>
      <c r="E25" s="21" t="s">
        <v>415</v>
      </c>
      <c r="F25" s="21" t="s">
        <v>415</v>
      </c>
    </row>
    <row r="26" customFormat="false" ht="15" hidden="false" customHeight="true" outlineLevel="0" collapsed="false">
      <c r="A26" s="78" t="n">
        <v>0.06</v>
      </c>
      <c r="B26" s="21" t="s">
        <v>415</v>
      </c>
      <c r="C26" s="21" t="s">
        <v>415</v>
      </c>
      <c r="D26" s="21" t="s">
        <v>415</v>
      </c>
      <c r="E26" s="21" t="s">
        <v>415</v>
      </c>
      <c r="F26" s="21" t="s">
        <v>415</v>
      </c>
    </row>
    <row r="31" customFormat="false" ht="15" hidden="false" customHeight="true" outlineLevel="0" collapsed="false">
      <c r="A31" s="19" t="s">
        <v>416</v>
      </c>
      <c r="B31" s="20"/>
      <c r="C31" s="20"/>
      <c r="D31" s="20"/>
      <c r="E31" s="20"/>
      <c r="F31" s="20"/>
      <c r="G31" s="20"/>
      <c r="H31" s="20"/>
    </row>
    <row r="33" customFormat="false" ht="15" hidden="false" customHeight="true" outlineLevel="0" collapsed="false">
      <c r="A33" s="32" t="s">
        <v>417</v>
      </c>
      <c r="B33" s="81" t="n">
        <f aca="false">'9. Valuation'!B66</f>
        <v>172.88</v>
      </c>
    </row>
    <row r="34" customFormat="false" ht="15" hidden="false" customHeight="true" outlineLevel="0" collapsed="false">
      <c r="A34" s="32" t="s">
        <v>418</v>
      </c>
      <c r="B34" s="81" t="n">
        <f aca="false">'9. Valuation'!B64</f>
        <v>104.17664341158</v>
      </c>
    </row>
    <row r="35" customFormat="false" ht="15" hidden="false" customHeight="true" outlineLevel="0" collapsed="false">
      <c r="A35" s="32" t="s">
        <v>419</v>
      </c>
      <c r="B35" s="81" t="n">
        <f aca="false">'9. Valuation'!B65</f>
        <v>113.220860064791</v>
      </c>
    </row>
    <row r="36" customFormat="false" ht="15" hidden="false" customHeight="true" outlineLevel="0" collapsed="false">
      <c r="A36" s="32" t="s">
        <v>420</v>
      </c>
      <c r="B36" s="81" t="n">
        <f aca="false">'9. Valuation'!B68</f>
        <v>108.698751738185</v>
      </c>
    </row>
    <row r="37" customFormat="false" ht="15" hidden="false" customHeight="true" outlineLevel="0" collapsed="false">
      <c r="A37" s="32" t="s">
        <v>421</v>
      </c>
      <c r="B37" s="68" t="n">
        <f aca="false">'9. Valuation'!B70</f>
        <v>-0.37124738698412</v>
      </c>
    </row>
    <row r="38" customFormat="false" ht="15" hidden="false" customHeight="true" outlineLevel="0" collapsed="false">
      <c r="A38" s="32" t="s">
        <v>405</v>
      </c>
      <c r="B38" s="82" t="str">
        <f aca="false">'9. Valuation'!B72</f>
        <v>[Buy / Hold / Sell — your call, based on the model output + your thesis]</v>
      </c>
    </row>
    <row r="39" customFormat="false" ht="15" hidden="false" customHeight="true" outlineLevel="0" collapsed="false">
      <c r="A39" s="21"/>
    </row>
    <row r="40" customFormat="false" ht="15" hidden="false" customHeight="true" outlineLevel="0" collapsed="false">
      <c r="A40" s="32" t="s">
        <v>422</v>
      </c>
      <c r="B40" s="43" t="s">
        <v>423</v>
      </c>
    </row>
    <row r="41" customFormat="false" ht="15" hidden="false" customHeight="true" outlineLevel="0" collapsed="false">
      <c r="A41" s="32" t="s">
        <v>424</v>
      </c>
      <c r="B41" s="43" t="s">
        <v>425</v>
      </c>
    </row>
    <row r="42" customFormat="false" ht="15" hidden="false" customHeight="true" outlineLevel="0" collapsed="false">
      <c r="A42" s="32" t="s">
        <v>426</v>
      </c>
      <c r="B42" s="43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2026-05-28T18:00:52Z</dcterms:created>
  <dc:creator>openpyxl</dc:creator>
  <dc:description/>
  <dc:language>en-US</dc:language>
  <cp:lastModifiedBy/>
  <dcterms:modified xsi:type="dcterms:W3CDTF">2026-05-29T19:47:14Z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